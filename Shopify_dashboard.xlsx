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Portfolio\"/>
    </mc:Choice>
  </mc:AlternateContent>
  <xr:revisionPtr revIDLastSave="0" documentId="13_ncr:1_{5D16930C-31CC-4A3F-B029-95F7C457F121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Data" sheetId="1" r:id="rId1"/>
    <sheet name="Sheet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2" l="1"/>
  <c r="G13" i="2"/>
  <c r="J2" i="3"/>
  <c r="G2" i="3"/>
  <c r="C2" i="3"/>
</calcChain>
</file>

<file path=xl/sharedStrings.xml><?xml version="1.0" encoding="utf-8"?>
<sst xmlns="http://schemas.openxmlformats.org/spreadsheetml/2006/main" count="1143" uniqueCount="360">
  <si>
    <t>Order ID</t>
  </si>
  <si>
    <t>Customer ID</t>
  </si>
  <si>
    <t>Customer Name</t>
  </si>
  <si>
    <t>Phone</t>
  </si>
  <si>
    <t>Order Date</t>
  </si>
  <si>
    <t>Product</t>
  </si>
  <si>
    <t>Category</t>
  </si>
  <si>
    <t>Quantity</t>
  </si>
  <si>
    <t>Unit Price</t>
  </si>
  <si>
    <t>Discount</t>
  </si>
  <si>
    <t>Total Amount</t>
  </si>
  <si>
    <t>Payment Method</t>
  </si>
  <si>
    <t>Order Status</t>
  </si>
  <si>
    <t>Country</t>
  </si>
  <si>
    <t>Shipping Days</t>
  </si>
  <si>
    <t>ORD-1000</t>
  </si>
  <si>
    <t>CUST-140</t>
  </si>
  <si>
    <t>Grace Wilson</t>
  </si>
  <si>
    <t>+91-9592688426</t>
  </si>
  <si>
    <t>Webcam</t>
  </si>
  <si>
    <t>Electronics</t>
  </si>
  <si>
    <t>PayPal</t>
  </si>
  <si>
    <t>Shipped</t>
  </si>
  <si>
    <t>USA</t>
  </si>
  <si>
    <t>ORD-1001</t>
  </si>
  <si>
    <t>CUST-107</t>
  </si>
  <si>
    <t>James Anderson</t>
  </si>
  <si>
    <t>+91-9488690725</t>
  </si>
  <si>
    <t>Monitor</t>
  </si>
  <si>
    <t>Debit Card</t>
  </si>
  <si>
    <t>Returned</t>
  </si>
  <si>
    <t>Canada</t>
  </si>
  <si>
    <t>ORD-1002</t>
  </si>
  <si>
    <t>CUST-101</t>
  </si>
  <si>
    <t>+91-9168212356</t>
  </si>
  <si>
    <t>Wireless Mouse</t>
  </si>
  <si>
    <t>Accessories</t>
  </si>
  <si>
    <t>UPI</t>
  </si>
  <si>
    <t>ORD-1003</t>
  </si>
  <si>
    <t>CUST-147</t>
  </si>
  <si>
    <t>Isabella Taylor</t>
  </si>
  <si>
    <t>+91-9386501362</t>
  </si>
  <si>
    <t>Laptop</t>
  </si>
  <si>
    <t>Delivered</t>
  </si>
  <si>
    <t>UK</t>
  </si>
  <si>
    <t>CUST-117</t>
  </si>
  <si>
    <t>Australia</t>
  </si>
  <si>
    <t>ORD-1005</t>
  </si>
  <si>
    <t>CUST-115</t>
  </si>
  <si>
    <t>+91-9743111853</t>
  </si>
  <si>
    <t>USB Hub</t>
  </si>
  <si>
    <t>India</t>
  </si>
  <si>
    <t>CUST-114</t>
  </si>
  <si>
    <t>Keyboard</t>
  </si>
  <si>
    <t>Credit Card</t>
  </si>
  <si>
    <t>ORD-1007</t>
  </si>
  <si>
    <t>CUST-108</t>
  </si>
  <si>
    <t>+91-9327416584</t>
  </si>
  <si>
    <t>Phone Stand</t>
  </si>
  <si>
    <t>Processing</t>
  </si>
  <si>
    <t>ORD-1008</t>
  </si>
  <si>
    <t>David Brown</t>
  </si>
  <si>
    <t>+91-9168747287</t>
  </si>
  <si>
    <t>Desk Lamp</t>
  </si>
  <si>
    <t>Home Office</t>
  </si>
  <si>
    <t>CUST-106</t>
  </si>
  <si>
    <t>ORD-1010</t>
  </si>
  <si>
    <t>CUST-143</t>
  </si>
  <si>
    <t>+91-9607526654</t>
  </si>
  <si>
    <t>Cancelled</t>
  </si>
  <si>
    <t>ORD-1011</t>
  </si>
  <si>
    <t>Alice Johnson</t>
  </si>
  <si>
    <t>CUST-134</t>
  </si>
  <si>
    <t>Henry Moore</t>
  </si>
  <si>
    <t>ORD-1013</t>
  </si>
  <si>
    <t>CUST-105</t>
  </si>
  <si>
    <t>+91-9200140141</t>
  </si>
  <si>
    <t>ORD-1014</t>
  </si>
  <si>
    <t>CUST-137</t>
  </si>
  <si>
    <t>+91-9941889393</t>
  </si>
  <si>
    <t>ORD-1015</t>
  </si>
  <si>
    <t>CUST-127</t>
  </si>
  <si>
    <t>+91-9889991777</t>
  </si>
  <si>
    <t>ORD-1016</t>
  </si>
  <si>
    <t>CUST-102</t>
  </si>
  <si>
    <t>+91-9299528037</t>
  </si>
  <si>
    <t>Net Banking</t>
  </si>
  <si>
    <t>ORD-1017</t>
  </si>
  <si>
    <t>+91-9550139320</t>
  </si>
  <si>
    <t>ORD-1018</t>
  </si>
  <si>
    <t>Carol White</t>
  </si>
  <si>
    <t>+91-9793101194</t>
  </si>
  <si>
    <t>electronics</t>
  </si>
  <si>
    <t>ORD-1019</t>
  </si>
  <si>
    <t>CUST-113</t>
  </si>
  <si>
    <t>+91-9384756779</t>
  </si>
  <si>
    <t>Cable Pack</t>
  </si>
  <si>
    <t>ORD-1020</t>
  </si>
  <si>
    <t>+91-9667945747</t>
  </si>
  <si>
    <t>processing</t>
  </si>
  <si>
    <t>ORD-1021</t>
  </si>
  <si>
    <t>CUST-132</t>
  </si>
  <si>
    <t>Emma Davis</t>
  </si>
  <si>
    <t>+91-9326161867</t>
  </si>
  <si>
    <t>ORD-1022</t>
  </si>
  <si>
    <t>CUST-138</t>
  </si>
  <si>
    <t>+91-9458153605</t>
  </si>
  <si>
    <t>ORD-1023</t>
  </si>
  <si>
    <t>+91-9138684919</t>
  </si>
  <si>
    <t>ORD-1024</t>
  </si>
  <si>
    <t>CUST-135</t>
  </si>
  <si>
    <t>+91-9325567963</t>
  </si>
  <si>
    <t>ORD-1025</t>
  </si>
  <si>
    <t>CUST-112</t>
  </si>
  <si>
    <t>+91-9958872154</t>
  </si>
  <si>
    <t>ORD-1026</t>
  </si>
  <si>
    <t>CUST-145</t>
  </si>
  <si>
    <t>Bob Smith</t>
  </si>
  <si>
    <t>+91-9141580226</t>
  </si>
  <si>
    <t>ORD-1027</t>
  </si>
  <si>
    <t>CUST-141</t>
  </si>
  <si>
    <t>+91-9399147754</t>
  </si>
  <si>
    <t>ORD-1028</t>
  </si>
  <si>
    <t>CUST-144</t>
  </si>
  <si>
    <t>+91-9723403479</t>
  </si>
  <si>
    <t>ORD-1029</t>
  </si>
  <si>
    <t>+91-9719106699</t>
  </si>
  <si>
    <t>Headphones</t>
  </si>
  <si>
    <t>ORD-1030</t>
  </si>
  <si>
    <t>CUST-126</t>
  </si>
  <si>
    <t>Frank Miller</t>
  </si>
  <si>
    <t>+91-9437064353</t>
  </si>
  <si>
    <t>ORD-1031</t>
  </si>
  <si>
    <t>+91-9305986733</t>
  </si>
  <si>
    <t>ORD-1032</t>
  </si>
  <si>
    <t>CUST-128</t>
  </si>
  <si>
    <t>+91-9943702118</t>
  </si>
  <si>
    <t>ORD-1033</t>
  </si>
  <si>
    <t>+91-9191048514</t>
  </si>
  <si>
    <t>ORD-1034</t>
  </si>
  <si>
    <t>+91-9149621604</t>
  </si>
  <si>
    <t>ORD-1035</t>
  </si>
  <si>
    <t>CUST-100</t>
  </si>
  <si>
    <t>+91-9804436922</t>
  </si>
  <si>
    <t>ORD-1036</t>
  </si>
  <si>
    <t>CUST-148</t>
  </si>
  <si>
    <t>+91-9243171768</t>
  </si>
  <si>
    <t xml:space="preserve">  Desk Lamp  </t>
  </si>
  <si>
    <t>ORD-1037</t>
  </si>
  <si>
    <t>CUST-110</t>
  </si>
  <si>
    <t>+91-9270894498</t>
  </si>
  <si>
    <t>ORD-1038</t>
  </si>
  <si>
    <t>+91-9406798268</t>
  </si>
  <si>
    <t>ORD-1039</t>
  </si>
  <si>
    <t>+91-9329730155</t>
  </si>
  <si>
    <t>Credit card</t>
  </si>
  <si>
    <t>ORD-1040</t>
  </si>
  <si>
    <t>CUST-121</t>
  </si>
  <si>
    <t>+91-9727150493</t>
  </si>
  <si>
    <t>ORD-1041</t>
  </si>
  <si>
    <t>+91-9902638839</t>
  </si>
  <si>
    <t>ORD-1042</t>
  </si>
  <si>
    <t>CUST-109</t>
  </si>
  <si>
    <t>+91-9277215428</t>
  </si>
  <si>
    <t>free</t>
  </si>
  <si>
    <t>$42.31</t>
  </si>
  <si>
    <t>ORD-1043</t>
  </si>
  <si>
    <t>+91-9595744935</t>
  </si>
  <si>
    <t>ORD-1044</t>
  </si>
  <si>
    <t>+91-9907464398</t>
  </si>
  <si>
    <t>ORD-1045</t>
  </si>
  <si>
    <t>+91-9799816232</t>
  </si>
  <si>
    <t>ORD-1046</t>
  </si>
  <si>
    <t>+91-9334037646</t>
  </si>
  <si>
    <t>ORD-1047</t>
  </si>
  <si>
    <t>+91-9718257024</t>
  </si>
  <si>
    <t>ORD-1048</t>
  </si>
  <si>
    <t>CUST-124</t>
  </si>
  <si>
    <t>+91-9954942461</t>
  </si>
  <si>
    <t>ORD-1050</t>
  </si>
  <si>
    <t>CUST-122</t>
  </si>
  <si>
    <t>+91-9389998761</t>
  </si>
  <si>
    <t>ORD-1051</t>
  </si>
  <si>
    <t>+91-9584044963</t>
  </si>
  <si>
    <t>ORD-1052</t>
  </si>
  <si>
    <t>+91-9327761953</t>
  </si>
  <si>
    <t xml:space="preserve">  Laptop  </t>
  </si>
  <si>
    <t>ORD-1053</t>
  </si>
  <si>
    <t>CUST-116</t>
  </si>
  <si>
    <t>+91-9359154084</t>
  </si>
  <si>
    <t>ORD-1054</t>
  </si>
  <si>
    <t>+91-9842800803</t>
  </si>
  <si>
    <t>ORD-1055</t>
  </si>
  <si>
    <t>CUST-146</t>
  </si>
  <si>
    <t>+91-9477753674</t>
  </si>
  <si>
    <t>ORD-1056</t>
  </si>
  <si>
    <t>CUST-129</t>
  </si>
  <si>
    <t>+91-9841057474</t>
  </si>
  <si>
    <t>ORD-1058</t>
  </si>
  <si>
    <t>+91-9413679331</t>
  </si>
  <si>
    <t>ORD-1059</t>
  </si>
  <si>
    <t>ORD-1060</t>
  </si>
  <si>
    <t>+91-9191462297</t>
  </si>
  <si>
    <t>ORD-1061</t>
  </si>
  <si>
    <t>+91-9731924051</t>
  </si>
  <si>
    <t>ORD-1062</t>
  </si>
  <si>
    <t>CUST-118</t>
  </si>
  <si>
    <t>+91-9357553274</t>
  </si>
  <si>
    <t>ORD-1063</t>
  </si>
  <si>
    <t>+91-9859088046</t>
  </si>
  <si>
    <t>ORD-1065</t>
  </si>
  <si>
    <t>CUST-123</t>
  </si>
  <si>
    <t>+91-9603260608</t>
  </si>
  <si>
    <t>ORD-1066</t>
  </si>
  <si>
    <t>CUST-136</t>
  </si>
  <si>
    <t>+91-9446090161</t>
  </si>
  <si>
    <t>delivered</t>
  </si>
  <si>
    <t>ORD-1067</t>
  </si>
  <si>
    <t>+91-9143198431</t>
  </si>
  <si>
    <t>ORD-1068</t>
  </si>
  <si>
    <t>+91-9538460431</t>
  </si>
  <si>
    <t>ORD-1069</t>
  </si>
  <si>
    <t>CUST-104</t>
  </si>
  <si>
    <t>+91-9588365604</t>
  </si>
  <si>
    <t>ORD-1070</t>
  </si>
  <si>
    <t>+91-9543721204</t>
  </si>
  <si>
    <t>ORD-1071</t>
  </si>
  <si>
    <t>CUST-142</t>
  </si>
  <si>
    <t>+91-9409268943</t>
  </si>
  <si>
    <t>ORD-1072</t>
  </si>
  <si>
    <t>+91-9200082623</t>
  </si>
  <si>
    <t>ORD-1073</t>
  </si>
  <si>
    <t>CUST-149</t>
  </si>
  <si>
    <t>+91-9996278008</t>
  </si>
  <si>
    <t>ORD-1074</t>
  </si>
  <si>
    <t>+91-9396618390</t>
  </si>
  <si>
    <t>ORD-1075</t>
  </si>
  <si>
    <t>+91-9579476614</t>
  </si>
  <si>
    <t>ORD-1077</t>
  </si>
  <si>
    <t>+91-9139749508</t>
  </si>
  <si>
    <t>three</t>
  </si>
  <si>
    <t>ORD-1079</t>
  </si>
  <si>
    <t>+91-9440012324</t>
  </si>
  <si>
    <t>ORD-1080</t>
  </si>
  <si>
    <t>+91-9916440738</t>
  </si>
  <si>
    <t>ORD-1081</t>
  </si>
  <si>
    <t>+91-9502482554</t>
  </si>
  <si>
    <t>ORD-1082</t>
  </si>
  <si>
    <t>+91-9833510170</t>
  </si>
  <si>
    <t>ORD-1083</t>
  </si>
  <si>
    <t>+91-9827579147</t>
  </si>
  <si>
    <t>debit card</t>
  </si>
  <si>
    <t>ORD-1084</t>
  </si>
  <si>
    <t>+91-9513061224</t>
  </si>
  <si>
    <t>ORD-1085</t>
  </si>
  <si>
    <t>+91-9108695125</t>
  </si>
  <si>
    <t>ORD-1086</t>
  </si>
  <si>
    <t>+91-9369108475</t>
  </si>
  <si>
    <t>ORD-1087</t>
  </si>
  <si>
    <t>+91-9416872439</t>
  </si>
  <si>
    <t>ORD-1088</t>
  </si>
  <si>
    <t>+91-9375919523</t>
  </si>
  <si>
    <t>ORD-1089</t>
  </si>
  <si>
    <t>+91-9196961971</t>
  </si>
  <si>
    <t>ORD-1090</t>
  </si>
  <si>
    <t>+91-9824600232</t>
  </si>
  <si>
    <t>N/A</t>
  </si>
  <si>
    <t>ORD-1091</t>
  </si>
  <si>
    <t>+91-9424474225</t>
  </si>
  <si>
    <t>ORD-1092</t>
  </si>
  <si>
    <t>+91-9517305280</t>
  </si>
  <si>
    <t>ORD-1093</t>
  </si>
  <si>
    <t>+91-9400368694</t>
  </si>
  <si>
    <t>ORD-1094</t>
  </si>
  <si>
    <t>+91-9527499187</t>
  </si>
  <si>
    <t>ORD-1095</t>
  </si>
  <si>
    <t>+91-9235209737</t>
  </si>
  <si>
    <t>ORD-1096</t>
  </si>
  <si>
    <t>+91-9397721596</t>
  </si>
  <si>
    <t>ORD-1097</t>
  </si>
  <si>
    <t>+91-9447646966</t>
  </si>
  <si>
    <t>ORD-1098</t>
  </si>
  <si>
    <t>+91-9935389432</t>
  </si>
  <si>
    <t>ORD-1099</t>
  </si>
  <si>
    <t>+91-9591819409</t>
  </si>
  <si>
    <t xml:space="preserve">  Cable Pack  </t>
  </si>
  <si>
    <t>ORD-1100</t>
  </si>
  <si>
    <t>+91-9753154389</t>
  </si>
  <si>
    <t>ORD-1101</t>
  </si>
  <si>
    <t>+91-9416644047</t>
  </si>
  <si>
    <t>ORD-1102</t>
  </si>
  <si>
    <t>+91-9463925049</t>
  </si>
  <si>
    <t>ORD-1103</t>
  </si>
  <si>
    <t>+91-9197951867</t>
  </si>
  <si>
    <t>ORD-1104</t>
  </si>
  <si>
    <t>+91-9453954673</t>
  </si>
  <si>
    <t>₹197.95</t>
  </si>
  <si>
    <t>ORD-1105</t>
  </si>
  <si>
    <t>+91-9720535283</t>
  </si>
  <si>
    <t>ORD-1106</t>
  </si>
  <si>
    <t>+91-9342836476</t>
  </si>
  <si>
    <t>ORD-1107</t>
  </si>
  <si>
    <t>+91-9293720285</t>
  </si>
  <si>
    <t>ORD-1108</t>
  </si>
  <si>
    <t>CUST-120</t>
  </si>
  <si>
    <t>+91-9901131404</t>
  </si>
  <si>
    <t>ORD-1109</t>
  </si>
  <si>
    <t>ORD-1110</t>
  </si>
  <si>
    <t>ORD-1111</t>
  </si>
  <si>
    <t>CUST-103</t>
  </si>
  <si>
    <t>+91-9665791188</t>
  </si>
  <si>
    <t>ORD-1112</t>
  </si>
  <si>
    <t>+91-9247354744</t>
  </si>
  <si>
    <t>ORD-1113</t>
  </si>
  <si>
    <t>+91-9699924859</t>
  </si>
  <si>
    <t>ORD-1114</t>
  </si>
  <si>
    <t>+91-9560940492</t>
  </si>
  <si>
    <t>ORD-1115</t>
  </si>
  <si>
    <t>CUST-125</t>
  </si>
  <si>
    <t>+91-9993381017</t>
  </si>
  <si>
    <t>ORD-1116</t>
  </si>
  <si>
    <t>+91-9900801837</t>
  </si>
  <si>
    <t>ORD-1117</t>
  </si>
  <si>
    <t>+91-9881017363</t>
  </si>
  <si>
    <t>INDIA</t>
  </si>
  <si>
    <t>ORD-1118</t>
  </si>
  <si>
    <t>+91-9929839316</t>
  </si>
  <si>
    <t>ORD-1119</t>
  </si>
  <si>
    <t>+91-9572191734</t>
  </si>
  <si>
    <t>+91-9371096600</t>
  </si>
  <si>
    <t>PAYPAL</t>
  </si>
  <si>
    <t>JAMES ANDERSON</t>
  </si>
  <si>
    <t>shipped</t>
  </si>
  <si>
    <t>Not Available</t>
  </si>
  <si>
    <t>Sum of Total Amount</t>
  </si>
  <si>
    <t>Total Sales</t>
  </si>
  <si>
    <t>Count of Quantity</t>
  </si>
  <si>
    <t>Units Sold</t>
  </si>
  <si>
    <t>Row Labels</t>
  </si>
  <si>
    <t>Grand Total</t>
  </si>
  <si>
    <t>Average of Unit Price</t>
  </si>
  <si>
    <t>Average Unit Price</t>
  </si>
  <si>
    <t>Count of Category</t>
  </si>
  <si>
    <t>Count of Product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</si>
  <si>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</si>
  <si>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</si>
  <si>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</si>
  <si>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</si>
  <si>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</si>
  <si>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</si>
  <si>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</si>
  <si>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</si>
  <si>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</si>
  <si>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</si>
  <si>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</si>
  <si>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2024</t>
  </si>
  <si>
    <t>2025</t>
  </si>
  <si>
    <t>-G20</t>
  </si>
  <si>
    <t>Count of Order Status</t>
  </si>
  <si>
    <t>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</si>
</sst>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0" fillId="0" borderId="0" xfId="0" applyNumberFormat="1"/>
    <xf numFmtId="44" fontId="0" fillId="0" borderId="0" xfId="1" applyFont="1"/>
    <xf numFmtId="9" fontId="0" fillId="0" borderId="0" xfId="2" applyFont="1"/>
    <xf numFmtId="0" fontId="0" fillId="0" borderId="0" xfId="0" applyAlignment="1">
      <alignment horizontal="left"/>
    </xf>
    <xf numFmtId="10" fontId="0" fillId="0" borderId="0" xfId="0" applyNumberFormat="1"/>
    <xf numFmtId="44" fontId="0" fillId="0" borderId="0" xfId="0" applyNumberFormat="1"/>
    <xf numFmtId="0" fontId="3" fillId="3" borderId="0" xfId="0" applyFont="1" applyFill="1" applyBorder="1"/>
    <xf numFmtId="0" fontId="0" fillId="3" borderId="1" xfId="0" applyFill="1" applyBorder="1"/>
    <xf numFmtId="44" fontId="4" fillId="3" borderId="0" xfId="1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3" fillId="3" borderId="0" xfId="0" applyFont="1" applyFill="1" applyBorder="1" applyAlignment="1"/>
    <xf numFmtId="0" fontId="3" fillId="3" borderId="1" xfId="0" applyFont="1" applyFill="1" applyBorder="1" applyAlignment="1"/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 indent="1"/>
    </xf>
    <xf numFmtId="44" fontId="5" fillId="3" borderId="1" xfId="1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9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</dxfs>
  <tableStyles count="0" defaultTableStyle="TableStyleMedium9" defaultPivotStyle="PivotStyleLight16"/>
  <colors>
    <mruColors>
      <color rgb="FFFFC7CE"/>
      <color rgb="FF29E35E"/>
      <color rgb="FFFF5367"/>
      <color rgb="FF6EEC92"/>
      <color rgb="FF52E8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[E-Commerce_Orders_MESSY.xlsx]Sheet!PivotTable7</c:name>
    <c:fmtId val="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7"/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</c:marker>
          <c:cat>
            <c:strRef>
              <c:f>Sheet!$F$3:$F$8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Sheet!$G$3:$G$8</c:f>
              <c:numCache>
                <c:formatCode>_("$"* #,##0.00_);_("$"* \(#,##0.00\);_("$"* "-"??_);_(@_)</c:formatCode>
                <c:ptCount val="5"/>
                <c:pt idx="0">
                  <c:v>11068.710000000001</c:v>
                </c:pt>
                <c:pt idx="1">
                  <c:v>13703.32</c:v>
                </c:pt>
                <c:pt idx="2">
                  <c:v>5089.5499999999993</c:v>
                </c:pt>
                <c:pt idx="3">
                  <c:v>16035.199999999999</c:v>
                </c:pt>
                <c:pt idx="4">
                  <c:v>10535.99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92-4DE2-B6DC-6F4C0D48B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867088"/>
        <c:axId val="1882865008"/>
      </c:radarChart>
      <c:catAx>
        <c:axId val="188286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865008"/>
        <c:crosses val="autoZero"/>
        <c:auto val="1"/>
        <c:lblAlgn val="ctr"/>
        <c:lblOffset val="100"/>
        <c:noMultiLvlLbl val="0"/>
      </c:catAx>
      <c:valAx>
        <c:axId val="18828650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cross"/>
        <c:minorTickMark val="none"/>
        <c:tickLblPos val="nextTo"/>
        <c:crossAx val="188286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[E-Commerce_Orders_MESSY.xlsx]Sheet!PivotTable5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Sheet!$D$14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9C-403D-AA57-225EA69EBE5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9C-403D-AA57-225EA69EBE52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9C-403D-AA57-225EA69EBE52}"/>
              </c:ext>
            </c:extLst>
          </c:dPt>
          <c:cat>
            <c:strRef>
              <c:f>Sheet!$C$15:$C$18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Home Office</c:v>
                </c:pt>
              </c:strCache>
            </c:strRef>
          </c:cat>
          <c:val>
            <c:numRef>
              <c:f>Sheet!$D$15:$D$18</c:f>
              <c:numCache>
                <c:formatCode>General</c:formatCode>
                <c:ptCount val="3"/>
                <c:pt idx="0">
                  <c:v>59</c:v>
                </c:pt>
                <c:pt idx="1">
                  <c:v>43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9C-403D-AA57-225EA69EB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11976238875851E-2"/>
          <c:y val="9.8361118832444056E-2"/>
          <c:w val="0.90943991810791769"/>
          <c:h val="0.768771313703821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Sheet!$D$23:$D$27</c:f>
              <c:strCache>
                <c:ptCount val="5"/>
                <c:pt idx="0">
                  <c:v>Keyboard</c:v>
                </c:pt>
                <c:pt idx="1">
                  <c:v>Cable Pack</c:v>
                </c:pt>
                <c:pt idx="2">
                  <c:v>Desk Lamp</c:v>
                </c:pt>
                <c:pt idx="3">
                  <c:v>Phone Stand</c:v>
                </c:pt>
                <c:pt idx="4">
                  <c:v>USB Hub</c:v>
                </c:pt>
              </c:strCache>
            </c:strRef>
          </c:cat>
          <c:val>
            <c:numRef>
              <c:f>Sheet!$E$23:$E$27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2B8-4D23-8E11-2C0A13966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827327"/>
        <c:axId val="1236824831"/>
      </c:barChart>
      <c:catAx>
        <c:axId val="123682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824831"/>
        <c:crosses val="autoZero"/>
        <c:auto val="1"/>
        <c:lblAlgn val="ctr"/>
        <c:lblOffset val="100"/>
        <c:noMultiLvlLbl val="0"/>
      </c:catAx>
      <c:valAx>
        <c:axId val="12368248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82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[E-Commerce_Orders_MESSY.xlsx]Sheet!PivotTable3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77488468734724"/>
          <c:y val="8.8539236664146162E-2"/>
          <c:w val="0.86958120980979858"/>
          <c:h val="0.76708549854937225"/>
        </c:manualLayout>
      </c:layout>
      <c:lineChart>
        <c:grouping val="standard"/>
        <c:varyColors val="0"/>
        <c:ser>
          <c:idx val="0"/>
          <c:order val="0"/>
          <c:tx>
            <c:strRef>
              <c:f>Sheet!$K$8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Sheet!$J$9:$J$20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Sheet!$K$9:$K$20</c:f>
              <c:numCache>
                <c:formatCode>_("$"* #,##0.00_);_("$"* \(#,##0.00\);_("$"* "-"??_);_(@_)</c:formatCode>
                <c:ptCount val="11"/>
                <c:pt idx="0">
                  <c:v>14164.569999999996</c:v>
                </c:pt>
                <c:pt idx="1">
                  <c:v>18852.859999999997</c:v>
                </c:pt>
                <c:pt idx="2">
                  <c:v>7113.6599999999989</c:v>
                </c:pt>
                <c:pt idx="3">
                  <c:v>1592.45</c:v>
                </c:pt>
                <c:pt idx="4">
                  <c:v>414.03999999999996</c:v>
                </c:pt>
                <c:pt idx="5">
                  <c:v>371.21000000000004</c:v>
                </c:pt>
                <c:pt idx="6">
                  <c:v>52.18</c:v>
                </c:pt>
                <c:pt idx="7">
                  <c:v>1839.98</c:v>
                </c:pt>
                <c:pt idx="8">
                  <c:v>113.16</c:v>
                </c:pt>
                <c:pt idx="9">
                  <c:v>1191.1500000000001</c:v>
                </c:pt>
                <c:pt idx="10">
                  <c:v>10727.51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40-41A5-BA26-7DD546D0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384767"/>
        <c:axId val="432383935"/>
      </c:lineChart>
      <c:catAx>
        <c:axId val="43238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83935"/>
        <c:crosses val="autoZero"/>
        <c:auto val="1"/>
        <c:lblAlgn val="ctr"/>
        <c:lblOffset val="100"/>
        <c:noMultiLvlLbl val="0"/>
      </c:catAx>
      <c:valAx>
        <c:axId val="43238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8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B-47FC-98E5-38C5F6D6292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B-47FC-98E5-38C5F6D6292F}"/>
              </c:ext>
            </c:extLst>
          </c:dPt>
          <c:cat>
            <c:strRef>
              <c:f>Sheet!$F$19:$F$20</c:f>
              <c:strCache>
                <c:ptCount val="2"/>
                <c:pt idx="0">
                  <c:v>Finished</c:v>
                </c:pt>
                <c:pt idx="1">
                  <c:v>Cancelled</c:v>
                </c:pt>
              </c:strCache>
            </c:strRef>
          </c:cat>
          <c:val>
            <c:numRef>
              <c:f>Sheet!$G$19:$G$20</c:f>
              <c:numCache>
                <c:formatCode>General</c:formatCode>
                <c:ptCount val="2"/>
                <c:pt idx="0">
                  <c:v>99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CB-47FC-98E5-38C5F6D62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627209</xdr:colOff>
      <xdr:row>2</xdr:row>
      <xdr:rowOff>4482</xdr:rowOff>
    </xdr:from>
    <xdr:to>
      <xdr:col>10</xdr:col>
      <xdr:colOff>1088571</xdr:colOff>
      <xdr:row>14</xdr:row>
      <xdr:rowOff>116115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C56DB-4FDC-4097-84AC-D3AFBBFBC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499130</xdr:colOff>
      <xdr:row>16</xdr:row>
      <xdr:rowOff>13431</xdr:rowOff>
    </xdr:from>
    <xdr:to>
      <xdr:col>6</xdr:col>
      <xdr:colOff>603183</xdr:colOff>
      <xdr:row>25</xdr:row>
      <xdr:rowOff>178130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3B2B1E-B7C1-4E52-AD8E-3ACC7F7DC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29687</xdr:rowOff>
    </xdr:from>
    <xdr:to>
      <xdr:col>3</xdr:col>
      <xdr:colOff>503462</xdr:colOff>
      <xdr:row>25</xdr:row>
      <xdr:rowOff>178130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35C88A-1BC7-4E47-8C90-51A1B807D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9896</xdr:colOff>
      <xdr:row>3</xdr:row>
      <xdr:rowOff>163992</xdr:rowOff>
    </xdr:from>
    <xdr:to>
      <xdr:col>6</xdr:col>
      <xdr:colOff>623455</xdr:colOff>
      <xdr:row>13</xdr:row>
      <xdr:rowOff>178130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AD21BD-AB62-4798-8ABC-F1CE1BC06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19792</xdr:colOff>
      <xdr:row>2</xdr:row>
      <xdr:rowOff>9897</xdr:rowOff>
    </xdr:from>
    <xdr:to>
      <xdr:col>6</xdr:col>
      <xdr:colOff>643247</xdr:colOff>
      <xdr:row>4</xdr:row>
      <xdr:rowOff>29688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EACAFD0-0A8B-4C62-AD0E-CFD64B6553A6}"/>
            </a:ext>
          </a:extLst>
        </xdr:cNvPr>
        <xdr:cNvSpPr txBox="1"/>
      </xdr:nvSpPr>
      <xdr:spPr>
        <a:xfrm>
          <a:off x="19792" y="623455"/>
          <a:ext cx="5165766" cy="3958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>
                  <a:lumMod val="75000"/>
                </a:schemeClr>
              </a:solidFill>
            </a:rPr>
            <a:t>Sales Percentage by Month</a:t>
          </a:r>
        </a:p>
      </xdr:txBody>
    </xdr:sp>
    <xdr:clientData/>
  </xdr:twoCellAnchor>
  <xdr:twoCellAnchor>
    <xdr:from>
      <xdr:col>0</xdr:col>
      <xdr:colOff>1</xdr:colOff>
      <xdr:row>13</xdr:row>
      <xdr:rowOff>178131</xdr:rowOff>
    </xdr:from>
    <xdr:to>
      <xdr:col>3</xdr:col>
      <xdr:colOff>484911</xdr:colOff>
      <xdr:row>16</xdr:row>
      <xdr:rowOff>9897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CD416BA-C813-4AA1-8A12-0903B4ECA7BE}"/>
            </a:ext>
          </a:extLst>
        </xdr:cNvPr>
        <xdr:cNvSpPr txBox="1"/>
      </xdr:nvSpPr>
      <xdr:spPr>
        <a:xfrm>
          <a:off x="1" y="2859975"/>
          <a:ext cx="2879766" cy="3958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>
                  <a:lumMod val="75000"/>
                </a:schemeClr>
              </a:solidFill>
            </a:rPr>
            <a:t>Top 5</a:t>
          </a:r>
          <a:r>
            <a:rPr lang="en-IN" sz="2400" b="1" baseline="0">
              <a:solidFill>
                <a:schemeClr val="accent1">
                  <a:lumMod val="75000"/>
                </a:schemeClr>
              </a:solidFill>
            </a:rPr>
            <a:t> Products</a:t>
          </a:r>
          <a:endParaRPr lang="en-IN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455223</xdr:colOff>
      <xdr:row>13</xdr:row>
      <xdr:rowOff>158339</xdr:rowOff>
    </xdr:from>
    <xdr:to>
      <xdr:col>6</xdr:col>
      <xdr:colOff>633352</xdr:colOff>
      <xdr:row>16</xdr:row>
      <xdr:rowOff>9896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4F459CF-6910-4DE5-A2D2-B35529526E98}"/>
            </a:ext>
          </a:extLst>
        </xdr:cNvPr>
        <xdr:cNvSpPr txBox="1"/>
      </xdr:nvSpPr>
      <xdr:spPr>
        <a:xfrm>
          <a:off x="2850079" y="2840183"/>
          <a:ext cx="2325584" cy="4156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chemeClr val="accent1">
                  <a:lumMod val="75000"/>
                </a:schemeClr>
              </a:solidFill>
            </a:rPr>
            <a:t>Top</a:t>
          </a:r>
          <a:r>
            <a:rPr lang="en-IN" sz="2400" b="1" baseline="0">
              <a:solidFill>
                <a:schemeClr val="accent1">
                  <a:lumMod val="75000"/>
                </a:schemeClr>
              </a:solidFill>
            </a:rPr>
            <a:t> Categories</a:t>
          </a:r>
          <a:endParaRPr lang="en-IN" sz="2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616859</xdr:colOff>
      <xdr:row>14</xdr:row>
      <xdr:rowOff>137886</xdr:rowOff>
    </xdr:from>
    <xdr:to>
      <xdr:col>10</xdr:col>
      <xdr:colOff>1059543</xdr:colOff>
      <xdr:row>25</xdr:row>
      <xdr:rowOff>174172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620967-8215-47DA-9D02-A227A5F66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3.930906828704" createdVersion="7" refreshedVersion="7" minRefreshableVersion="3" recordCount="116" xr:uid="{6EE9C8CA-7CC6-4DFA-BF88-2A547F1A2214}">
  <cacheSource type="worksheet">
    <worksheetSource name="Table4"/>
  </cacheSource>
  <cacheFields count="17">
    <cacheField name="Order ID" numFmtId="0">
      <sharedItems/>
    </cacheField>
    <cacheField name="Customer ID" numFmtId="0">
      <sharedItems/>
    </cacheField>
    <cacheField name="Customer Name" numFmtId="0">
      <sharedItems containsBlank="1"/>
    </cacheField>
    <cacheField name="Phone" numFmtId="0">
      <sharedItems containsBlank="1"/>
    </cacheField>
    <cacheField name="Order Date" numFmtId="14">
      <sharedItems containsSemiMixedTypes="0" containsNonDate="0" containsDate="1" containsString="0" minDate="2024-02-05T00:00:00" maxDate="2025-03-15T00:00:00"/>
    </cacheField>
    <cacheField name="Product" numFmtId="0">
      <sharedItems count="13">
        <s v="Webcam"/>
        <s v="Monitor"/>
        <s v="Wireless Mouse"/>
        <s v="Laptop"/>
        <s v="USB Hub"/>
        <s v="Phone Stand"/>
        <s v="Desk Lamp"/>
        <s v="Keyboard"/>
        <s v="Cable Pack"/>
        <s v="Headphones"/>
        <s v="  Desk Lamp  "/>
        <s v="  Laptop  "/>
        <s v="  Cable Pack  "/>
      </sharedItems>
    </cacheField>
    <cacheField name="Category" numFmtId="0">
      <sharedItems count="3">
        <s v="Electronics"/>
        <s v="Accessories"/>
        <s v="Home Office"/>
      </sharedItems>
    </cacheField>
    <cacheField name="Quantity" numFmtId="0">
      <sharedItems containsMixedTypes="1" containsNumber="1" containsInteger="1" minValue="-1" maxValue="5"/>
    </cacheField>
    <cacheField name="Unit Price" numFmtId="44">
      <sharedItems containsMixedTypes="1" containsNumber="1" minValue="0" maxValue="999.99"/>
    </cacheField>
    <cacheField name="Discount" numFmtId="9">
      <sharedItems containsString="0" containsBlank="1" containsNumber="1" minValue="0" maxValue="0.2"/>
    </cacheField>
    <cacheField name="Total Amount" numFmtId="44">
      <sharedItems containsMixedTypes="1" containsNumber="1" minValue="-50" maxValue="4649.95"/>
    </cacheField>
    <cacheField name="Payment Method" numFmtId="0">
      <sharedItems/>
    </cacheField>
    <cacheField name="Order Status" numFmtId="0">
      <sharedItems count="5">
        <s v="Shipped"/>
        <s v="Returned"/>
        <s v="Delivered"/>
        <s v="Processing"/>
        <s v="Cancelled"/>
      </sharedItems>
    </cacheField>
    <cacheField name="Country" numFmtId="0">
      <sharedItems count="5">
        <s v="USA"/>
        <s v="Canada"/>
        <s v="UK"/>
        <s v="India"/>
        <s v="Australia"/>
      </sharedItems>
    </cacheField>
    <cacheField name="Shipping Days" numFmtId="0">
      <sharedItems containsString="0" containsBlank="1" containsNumber="1" containsInteger="1" minValue="-3" maxValue="14"/>
    </cacheField>
    <cacheField name="Month" numFmtId="0">
      <sharedItems count="11">
        <s v="Mar"/>
        <s v="Apr"/>
        <s v="Jul"/>
        <s v="Nov"/>
        <s v="Jun"/>
        <s v="Oct"/>
        <s v="May"/>
        <s v="Aug"/>
        <s v="Feb"/>
        <s v="Dec"/>
        <s v="Jan"/>
      </sharedItems>
    </cacheField>
    <cacheField name="Year" numFmtId="0">
      <sharedItems count="2">
        <s v="2024"/>
        <s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ORD-1000"/>
    <s v="CUST-140"/>
    <s v="Grace Wilson"/>
    <s v="+91-9592688426"/>
    <d v="2024-03-14T00:00:00"/>
    <x v="0"/>
    <x v="0"/>
    <n v="2"/>
    <n v="89.99"/>
    <n v="0.13"/>
    <n v="156.58000000000001"/>
    <s v="PayPal"/>
    <x v="0"/>
    <x v="0"/>
    <n v="9"/>
    <x v="0"/>
    <x v="0"/>
  </r>
  <r>
    <s v="ORD-1001"/>
    <s v="CUST-107"/>
    <s v="James Anderson"/>
    <s v="+91-9488690725"/>
    <d v="2024-04-22T00:00:00"/>
    <x v="1"/>
    <x v="0"/>
    <n v="5"/>
    <n v="349.99"/>
    <n v="0.09"/>
    <n v="1592.45"/>
    <s v="Debit Card"/>
    <x v="1"/>
    <x v="1"/>
    <n v="13"/>
    <x v="1"/>
    <x v="0"/>
  </r>
  <r>
    <s v="ORD-1002"/>
    <s v="CUST-101"/>
    <s v="Grace Wilson"/>
    <s v="+91-9168212356"/>
    <d v="2024-07-16T00:00:00"/>
    <x v="2"/>
    <x v="1"/>
    <n v="2"/>
    <n v="29.99"/>
    <n v="0.13"/>
    <n v="52.18"/>
    <s v="UPI"/>
    <x v="1"/>
    <x v="1"/>
    <n v="5"/>
    <x v="2"/>
    <x v="0"/>
  </r>
  <r>
    <s v="ORD-1003"/>
    <s v="CUST-147"/>
    <s v="Isabella Taylor"/>
    <s v="+91-9386501362"/>
    <d v="2024-11-24T00:00:00"/>
    <x v="3"/>
    <x v="0"/>
    <n v="1"/>
    <n v="999.99"/>
    <n v="0.14000000000000001"/>
    <n v="859.99"/>
    <s v="PayPal"/>
    <x v="2"/>
    <x v="2"/>
    <n v="3"/>
    <x v="3"/>
    <x v="0"/>
  </r>
  <r>
    <s v="ORD-1005"/>
    <s v="CUST-115"/>
    <s v="Isabella Taylor"/>
    <s v="+91-9743111853"/>
    <d v="2024-06-14T00:00:00"/>
    <x v="4"/>
    <x v="1"/>
    <n v="5"/>
    <n v="39.99"/>
    <n v="0.13"/>
    <n v="161.96"/>
    <s v="UPI"/>
    <x v="2"/>
    <x v="3"/>
    <n v="14"/>
    <x v="4"/>
    <x v="0"/>
  </r>
  <r>
    <s v="ORD-1007"/>
    <s v="CUST-108"/>
    <s v="James Anderson"/>
    <s v="+91-9327416584"/>
    <d v="2024-10-03T00:00:00"/>
    <x v="5"/>
    <x v="1"/>
    <n v="2"/>
    <n v="19.989999999999998"/>
    <n v="0.05"/>
    <n v="37.979999999999997"/>
    <s v="Debit Card"/>
    <x v="3"/>
    <x v="1"/>
    <n v="11"/>
    <x v="5"/>
    <x v="0"/>
  </r>
  <r>
    <s v="ORD-1008"/>
    <s v="CUST-147"/>
    <s v="David Brown"/>
    <s v="+91-9168747287"/>
    <d v="2024-06-22T00:00:00"/>
    <x v="6"/>
    <x v="2"/>
    <n v="5"/>
    <n v="45.99"/>
    <n v="0.09"/>
    <n v="209.25"/>
    <s v="Credit Card"/>
    <x v="1"/>
    <x v="4"/>
    <n v="10"/>
    <x v="4"/>
    <x v="0"/>
  </r>
  <r>
    <s v="ORD-1010"/>
    <s v="CUST-143"/>
    <s v="James Anderson"/>
    <s v="+91-9607526654"/>
    <d v="2024-05-04T00:00:00"/>
    <x v="7"/>
    <x v="1"/>
    <n v="5"/>
    <n v="39.99"/>
    <n v="0.03"/>
    <n v="387.95"/>
    <s v="UPI"/>
    <x v="4"/>
    <x v="0"/>
    <n v="2"/>
    <x v="6"/>
    <x v="0"/>
  </r>
  <r>
    <s v="ORD-1011"/>
    <s v="CUST-147"/>
    <s v="Alice Johnson"/>
    <s v="Not Available"/>
    <d v="2024-11-26T00:00:00"/>
    <x v="0"/>
    <x v="0"/>
    <n v="4"/>
    <n v="89.99"/>
    <n v="0.08"/>
    <n v="331.16"/>
    <s v="Credit Card"/>
    <x v="2"/>
    <x v="1"/>
    <n v="6"/>
    <x v="3"/>
    <x v="0"/>
  </r>
  <r>
    <s v="ORD-1013"/>
    <s v="CUST-105"/>
    <s v="Isabella Taylor"/>
    <s v="+91-9200140141"/>
    <d v="2024-05-01T00:00:00"/>
    <x v="2"/>
    <x v="1"/>
    <n v="1"/>
    <n v="29.99"/>
    <n v="0.13"/>
    <n v="26.09"/>
    <s v="Debit Card"/>
    <x v="4"/>
    <x v="1"/>
    <n v="4"/>
    <x v="6"/>
    <x v="0"/>
  </r>
  <r>
    <s v="ORD-1014"/>
    <s v="CUST-137"/>
    <s v="Grace Wilson"/>
    <s v="+91-9941889393"/>
    <d v="2024-08-20T00:00:00"/>
    <x v="3"/>
    <x v="0"/>
    <n v="2"/>
    <n v="999.99"/>
    <n v="0.08"/>
    <n v="1839.98"/>
    <s v="PayPal"/>
    <x v="4"/>
    <x v="4"/>
    <n v="12"/>
    <x v="7"/>
    <x v="0"/>
  </r>
  <r>
    <s v="ORD-1015"/>
    <s v="CUST-127"/>
    <s v="Alice Johnson"/>
    <s v="+91-9889991777"/>
    <d v="2024-10-04T00:00:00"/>
    <x v="4"/>
    <x v="1"/>
    <n v="2"/>
    <n v="39.99"/>
    <n v="0.06"/>
    <n v="75.180000000000007"/>
    <s v="Credit Card"/>
    <x v="3"/>
    <x v="3"/>
    <n v="10"/>
    <x v="5"/>
    <x v="0"/>
  </r>
  <r>
    <s v="ORD-1016"/>
    <s v="CUST-102"/>
    <s v="Isabella Taylor"/>
    <s v="+91-9299528037"/>
    <d v="2024-02-05T00:00:00"/>
    <x v="5"/>
    <x v="1"/>
    <n v="5"/>
    <n v="19.989999999999998"/>
    <n v="0.03"/>
    <n v="96.95"/>
    <s v="Net Banking"/>
    <x v="2"/>
    <x v="0"/>
    <n v="2"/>
    <x v="8"/>
    <x v="0"/>
  </r>
  <r>
    <s v="ORD-1017"/>
    <s v="CUST-101"/>
    <s v="James Anderson"/>
    <s v="+91-9550139320"/>
    <d v="2024-12-02T00:00:00"/>
    <x v="7"/>
    <x v="1"/>
    <n v="5"/>
    <n v="79.989999999999995"/>
    <n v="0.12"/>
    <n v="351.96"/>
    <s v="Net Banking"/>
    <x v="1"/>
    <x v="4"/>
    <n v="5"/>
    <x v="9"/>
    <x v="0"/>
  </r>
  <r>
    <s v="ORD-1018"/>
    <s v="CUST-105"/>
    <s v="Carol White"/>
    <s v="+91-9793101194"/>
    <d v="2024-12-03T00:00:00"/>
    <x v="0"/>
    <x v="0"/>
    <n v="2"/>
    <n v="89.99"/>
    <n v="0.05"/>
    <n v="170.98"/>
    <s v="UPI"/>
    <x v="3"/>
    <x v="3"/>
    <n v="8"/>
    <x v="9"/>
    <x v="0"/>
  </r>
  <r>
    <s v="ORD-1019"/>
    <s v="CUST-113"/>
    <s v="David Brown"/>
    <s v="+91-9384756779"/>
    <d v="2024-12-04T00:00:00"/>
    <x v="8"/>
    <x v="1"/>
    <n v="4"/>
    <n v="14.99"/>
    <n v="0.01"/>
    <n v="14.84"/>
    <s v="PayPal"/>
    <x v="2"/>
    <x v="0"/>
    <n v="5"/>
    <x v="9"/>
    <x v="0"/>
  </r>
  <r>
    <s v="ORD-1020"/>
    <s v="CUST-114"/>
    <s v="James Anderson"/>
    <s v="+91-9667945747"/>
    <d v="2024-12-05T00:00:00"/>
    <x v="6"/>
    <x v="2"/>
    <n v="5"/>
    <n v="45.99"/>
    <n v="0.14000000000000001"/>
    <n v="197.76"/>
    <s v="Net Banking"/>
    <x v="3"/>
    <x v="3"/>
    <n v="5"/>
    <x v="9"/>
    <x v="0"/>
  </r>
  <r>
    <s v="ORD-1021"/>
    <s v="CUST-132"/>
    <s v="Emma Davis"/>
    <s v="+91-9326161867"/>
    <d v="2024-12-06T00:00:00"/>
    <x v="2"/>
    <x v="1"/>
    <n v="5"/>
    <n v="29.99"/>
    <n v="0.03"/>
    <n v="145.44999999999999"/>
    <s v="Debit Card"/>
    <x v="3"/>
    <x v="4"/>
    <n v="5"/>
    <x v="9"/>
    <x v="0"/>
  </r>
  <r>
    <s v="ORD-1022"/>
    <s v="CUST-138"/>
    <s v="Alice Johnson"/>
    <s v="+91-9458153605"/>
    <d v="2024-12-07T00:00:00"/>
    <x v="2"/>
    <x v="1"/>
    <n v="4"/>
    <n v="29.99"/>
    <n v="0.17"/>
    <n v="99.57"/>
    <s v="PayPal"/>
    <x v="0"/>
    <x v="1"/>
    <n v="12"/>
    <x v="9"/>
    <x v="0"/>
  </r>
  <r>
    <s v="ORD-1023"/>
    <s v="CUST-101"/>
    <s v="Carol White"/>
    <s v="+91-9138684919"/>
    <d v="2024-12-08T00:00:00"/>
    <x v="5"/>
    <x v="1"/>
    <n v="1"/>
    <n v="19.989999999999998"/>
    <n v="0.02"/>
    <n v="19.59"/>
    <s v="Net Banking"/>
    <x v="1"/>
    <x v="0"/>
    <n v="3"/>
    <x v="9"/>
    <x v="0"/>
  </r>
  <r>
    <s v="ORD-1024"/>
    <s v="CUST-135"/>
    <s v="Alice Johnson"/>
    <s v="+91-9325567963"/>
    <d v="2024-12-09T00:00:00"/>
    <x v="1"/>
    <x v="0"/>
    <n v="3"/>
    <n v="349.99"/>
    <n v="0.18"/>
    <n v="860.98"/>
    <s v="Debit Card"/>
    <x v="2"/>
    <x v="2"/>
    <n v="14"/>
    <x v="9"/>
    <x v="0"/>
  </r>
  <r>
    <s v="ORD-1025"/>
    <s v="CUST-112"/>
    <s v="David Brown"/>
    <s v="+91-9958872154"/>
    <d v="2024-12-10T00:00:00"/>
    <x v="8"/>
    <x v="1"/>
    <n v="2"/>
    <n v="14.99"/>
    <n v="0.19"/>
    <n v="24.28"/>
    <s v="UPI"/>
    <x v="2"/>
    <x v="0"/>
    <n v="6"/>
    <x v="9"/>
    <x v="0"/>
  </r>
  <r>
    <s v="ORD-1026"/>
    <s v="CUST-145"/>
    <s v="Bob Smith"/>
    <s v="+91-9141580226"/>
    <d v="2024-12-11T00:00:00"/>
    <x v="7"/>
    <x v="1"/>
    <n v="3"/>
    <n v="79.989999999999995"/>
    <n v="0.03"/>
    <n v="232.77"/>
    <s v="Debit Card"/>
    <x v="0"/>
    <x v="1"/>
    <n v="5"/>
    <x v="9"/>
    <x v="0"/>
  </r>
  <r>
    <s v="ORD-1027"/>
    <s v="CUST-141"/>
    <s v="Grace Wilson"/>
    <s v="+91-9399147754"/>
    <d v="2024-12-12T00:00:00"/>
    <x v="7"/>
    <x v="1"/>
    <n v="1"/>
    <n v="79.989999999999995"/>
    <n v="0.13"/>
    <n v="69.59"/>
    <s v="PayPal"/>
    <x v="3"/>
    <x v="4"/>
    <n v="11"/>
    <x v="9"/>
    <x v="0"/>
  </r>
  <r>
    <s v="ORD-1028"/>
    <s v="CUST-144"/>
    <s v="Emma Davis"/>
    <s v="+91-9723403479"/>
    <d v="2024-12-13T00:00:00"/>
    <x v="0"/>
    <x v="0"/>
    <n v="1"/>
    <n v="89.99"/>
    <n v="0.02"/>
    <n v="88.19"/>
    <s v="Credit Card"/>
    <x v="2"/>
    <x v="4"/>
    <n v="6"/>
    <x v="9"/>
    <x v="0"/>
  </r>
  <r>
    <s v="ORD-1029"/>
    <s v="CUST-134"/>
    <s v="Bob Smith"/>
    <s v="+91-9719106699"/>
    <d v="2024-12-14T00:00:00"/>
    <x v="9"/>
    <x v="0"/>
    <n v="5"/>
    <n v="149.99"/>
    <n v="0.2"/>
    <n v="599.96"/>
    <s v="PayPal"/>
    <x v="2"/>
    <x v="1"/>
    <n v="9"/>
    <x v="9"/>
    <x v="0"/>
  </r>
  <r>
    <s v="ORD-1030"/>
    <s v="CUST-126"/>
    <s v="Frank Miller"/>
    <s v="+91-9437064353"/>
    <d v="2024-12-15T00:00:00"/>
    <x v="7"/>
    <x v="1"/>
    <n v="3"/>
    <n v="79.989999999999995"/>
    <n v="0.09"/>
    <n v="218.37"/>
    <s v="Credit Card"/>
    <x v="3"/>
    <x v="4"/>
    <n v="11"/>
    <x v="9"/>
    <x v="0"/>
  </r>
  <r>
    <s v="ORD-1031"/>
    <s v="CUST-114"/>
    <s v="Isabella Taylor"/>
    <s v="+91-9305986733"/>
    <d v="2024-12-16T00:00:00"/>
    <x v="0"/>
    <x v="0"/>
    <n v="4"/>
    <n v="89.99"/>
    <n v="0.14000000000000001"/>
    <n v="309.57"/>
    <s v="UPI"/>
    <x v="0"/>
    <x v="4"/>
    <m/>
    <x v="9"/>
    <x v="0"/>
  </r>
  <r>
    <s v="ORD-1032"/>
    <s v="CUST-128"/>
    <s v="David Brown"/>
    <s v="+91-9943702118"/>
    <d v="2024-12-17T00:00:00"/>
    <x v="5"/>
    <x v="1"/>
    <n v="0"/>
    <n v="19.989999999999998"/>
    <n v="0.06"/>
    <n v="18.79"/>
    <s v="Net Banking"/>
    <x v="3"/>
    <x v="1"/>
    <n v="8"/>
    <x v="9"/>
    <x v="0"/>
  </r>
  <r>
    <s v="ORD-1033"/>
    <s v="CUST-137"/>
    <s v="Carol White"/>
    <s v="+91-9191048514"/>
    <d v="2024-12-18T00:00:00"/>
    <x v="5"/>
    <x v="1"/>
    <n v="4"/>
    <n v="19.989999999999998"/>
    <n v="0.16"/>
    <n v="67.17"/>
    <s v="Net Banking"/>
    <x v="1"/>
    <x v="2"/>
    <n v="14"/>
    <x v="9"/>
    <x v="0"/>
  </r>
  <r>
    <s v="ORD-1034"/>
    <s v="CUST-117"/>
    <s v="Carol White"/>
    <s v="+91-9149621604"/>
    <d v="2024-12-19T00:00:00"/>
    <x v="1"/>
    <x v="0"/>
    <n v="2"/>
    <n v="349.99"/>
    <n v="0.16"/>
    <n v="587.98"/>
    <s v="UPI"/>
    <x v="1"/>
    <x v="3"/>
    <n v="7"/>
    <x v="9"/>
    <x v="0"/>
  </r>
  <r>
    <s v="ORD-1035"/>
    <s v="CUST-100"/>
    <s v="David Brown"/>
    <s v="+91-9804436922"/>
    <d v="2024-12-20T00:00:00"/>
    <x v="7"/>
    <x v="1"/>
    <n v="4"/>
    <n v="79.989999999999995"/>
    <n v="0.1"/>
    <n v="287.95999999999998"/>
    <s v="Credit Card"/>
    <x v="2"/>
    <x v="1"/>
    <n v="3"/>
    <x v="9"/>
    <x v="0"/>
  </r>
  <r>
    <s v="ORD-1036"/>
    <s v="CUST-148"/>
    <s v="Bob Smith"/>
    <s v="+91-9243171768"/>
    <d v="2024-12-21T00:00:00"/>
    <x v="10"/>
    <x v="2"/>
    <n v="-1"/>
    <n v="45.99"/>
    <n v="0.11"/>
    <n v="40.93"/>
    <s v="Net Banking"/>
    <x v="1"/>
    <x v="4"/>
    <n v="13"/>
    <x v="9"/>
    <x v="0"/>
  </r>
  <r>
    <s v="ORD-1037"/>
    <s v="CUST-110"/>
    <s v="Isabella Taylor"/>
    <s v="+91-9270894498"/>
    <d v="2024-12-22T00:00:00"/>
    <x v="8"/>
    <x v="1"/>
    <n v="5"/>
    <n v="14.99"/>
    <n v="0.09"/>
    <n v="68.2"/>
    <s v="UPI"/>
    <x v="3"/>
    <x v="0"/>
    <n v="5"/>
    <x v="9"/>
    <x v="0"/>
  </r>
  <r>
    <s v="ORD-1038"/>
    <s v="CUST-144"/>
    <s v="Bob Smith"/>
    <s v="+91-9406798268"/>
    <d v="2024-12-23T00:00:00"/>
    <x v="6"/>
    <x v="2"/>
    <n v="2"/>
    <n v="45.99"/>
    <n v="0.05"/>
    <n v="87.38"/>
    <s v="PayPal"/>
    <x v="3"/>
    <x v="2"/>
    <n v="2"/>
    <x v="9"/>
    <x v="0"/>
  </r>
  <r>
    <s v="ORD-1039"/>
    <s v="CUST-127"/>
    <m/>
    <s v="+91-9329730155"/>
    <d v="2024-12-24T00:00:00"/>
    <x v="4"/>
    <x v="1"/>
    <n v="2"/>
    <n v="39.99"/>
    <n v="0.08"/>
    <n v="73.58"/>
    <s v="Credit Card"/>
    <x v="4"/>
    <x v="2"/>
    <n v="8"/>
    <x v="9"/>
    <x v="0"/>
  </r>
  <r>
    <s v="ORD-1040"/>
    <s v="CUST-121"/>
    <s v="Grace Wilson"/>
    <s v="+91-9727150493"/>
    <d v="2024-12-25T00:00:00"/>
    <x v="3"/>
    <x v="0"/>
    <n v="2"/>
    <n v="999.99"/>
    <n v="0.17"/>
    <n v="1659.98"/>
    <s v="Credit Card"/>
    <x v="1"/>
    <x v="1"/>
    <n v="1"/>
    <x v="9"/>
    <x v="0"/>
  </r>
  <r>
    <s v="ORD-1041"/>
    <s v="CUST-117"/>
    <s v="Grace Wilson"/>
    <s v="+91-9902638839"/>
    <d v="2024-12-26T00:00:00"/>
    <x v="1"/>
    <x v="0"/>
    <n v="4"/>
    <n v="349.99"/>
    <n v="0.17"/>
    <n v="1161.97"/>
    <s v="Net Banking"/>
    <x v="0"/>
    <x v="1"/>
    <n v="5"/>
    <x v="9"/>
    <x v="0"/>
  </r>
  <r>
    <s v="ORD-1042"/>
    <s v="CUST-109"/>
    <s v="Grace Wilson"/>
    <s v="+91-9277215428"/>
    <d v="2024-12-27T00:00:00"/>
    <x v="6"/>
    <x v="2"/>
    <n v="1"/>
    <s v="free"/>
    <n v="0.08"/>
    <s v="$42.31"/>
    <s v="Debit Card"/>
    <x v="1"/>
    <x v="4"/>
    <n v="7"/>
    <x v="9"/>
    <x v="0"/>
  </r>
  <r>
    <s v="ORD-1043"/>
    <s v="CUST-113"/>
    <s v="Grace Wilson"/>
    <s v="+91-9595744935"/>
    <d v="2024-12-28T00:00:00"/>
    <x v="8"/>
    <x v="1"/>
    <n v="1"/>
    <n v="14.99"/>
    <n v="0.02"/>
    <n v="14.69"/>
    <s v="Credit Card"/>
    <x v="3"/>
    <x v="1"/>
    <n v="4"/>
    <x v="9"/>
    <x v="0"/>
  </r>
  <r>
    <s v="ORD-1044"/>
    <s v="CUST-148"/>
    <s v="Grace Wilson"/>
    <s v="+91-9907464398"/>
    <d v="2024-12-29T00:00:00"/>
    <x v="0"/>
    <x v="0"/>
    <n v="3"/>
    <n v="89.99"/>
    <n v="0.15"/>
    <n v="229.47"/>
    <s v="PayPal"/>
    <x v="2"/>
    <x v="1"/>
    <n v="12"/>
    <x v="9"/>
    <x v="0"/>
  </r>
  <r>
    <s v="ORD-1045"/>
    <s v="CUST-121"/>
    <s v="Bob Smith"/>
    <s v="+91-9799816232"/>
    <d v="2024-12-30T00:00:00"/>
    <x v="3"/>
    <x v="0"/>
    <n v="3"/>
    <n v="999.99"/>
    <n v="0.04"/>
    <n v="2879.97"/>
    <s v="Credit Card"/>
    <x v="0"/>
    <x v="0"/>
    <n v="10"/>
    <x v="9"/>
    <x v="0"/>
  </r>
  <r>
    <s v="ORD-1046"/>
    <s v="CUST-106"/>
    <s v="Bob Smith"/>
    <s v="+91-9334037646"/>
    <d v="2024-12-31T00:00:00"/>
    <x v="7"/>
    <x v="1"/>
    <n v="2"/>
    <n v="79.989999999999995"/>
    <n v="0.09"/>
    <n v="145.58000000000001"/>
    <s v="PayPal"/>
    <x v="3"/>
    <x v="0"/>
    <n v="10"/>
    <x v="9"/>
    <x v="0"/>
  </r>
  <r>
    <s v="ORD-1047"/>
    <s v="CUST-105"/>
    <s v="Alice Johnson"/>
    <s v="+91-9718257024"/>
    <d v="2025-01-01T00:00:00"/>
    <x v="4"/>
    <x v="1"/>
    <n v="3"/>
    <n v="39.99"/>
    <n v="0.02"/>
    <n v="117.57"/>
    <s v="UPI"/>
    <x v="4"/>
    <x v="0"/>
    <n v="10"/>
    <x v="10"/>
    <x v="1"/>
  </r>
  <r>
    <s v="ORD-1048"/>
    <s v="CUST-124"/>
    <s v="James Anderson"/>
    <s v="+91-9954942461"/>
    <d v="2025-01-02T00:00:00"/>
    <x v="2"/>
    <x v="1"/>
    <n v="3"/>
    <n v="29.99"/>
    <n v="0.17"/>
    <n v="74.680000000000007"/>
    <s v="Credit Card"/>
    <x v="3"/>
    <x v="4"/>
    <n v="11"/>
    <x v="10"/>
    <x v="1"/>
  </r>
  <r>
    <s v="ORD-1050"/>
    <s v="CUST-122"/>
    <s v="Isabella Taylor"/>
    <s v="+91-9389998761"/>
    <d v="2025-01-03T00:00:00"/>
    <x v="4"/>
    <x v="1"/>
    <n v="4"/>
    <n v="39.99"/>
    <n v="0.04"/>
    <n v="153.56"/>
    <s v="Net Banking"/>
    <x v="4"/>
    <x v="1"/>
    <n v="14"/>
    <x v="10"/>
    <x v="1"/>
  </r>
  <r>
    <s v="ORD-1051"/>
    <s v="CUST-122"/>
    <s v="Bob Smith"/>
    <s v="+91-9584044963"/>
    <d v="2025-01-04T00:00:00"/>
    <x v="1"/>
    <x v="0"/>
    <n v="3"/>
    <n v="349.99"/>
    <n v="0.17"/>
    <n v="871.48"/>
    <s v="UPI"/>
    <x v="1"/>
    <x v="4"/>
    <n v="7"/>
    <x v="10"/>
    <x v="1"/>
  </r>
  <r>
    <s v="ORD-1052"/>
    <s v="CUST-138"/>
    <s v="Carol White"/>
    <s v="+91-9327761953"/>
    <d v="2025-01-05T00:00:00"/>
    <x v="11"/>
    <x v="0"/>
    <n v="4"/>
    <n v="999.99"/>
    <n v="0.17"/>
    <n v="3319.97"/>
    <s v="PayPal"/>
    <x v="3"/>
    <x v="2"/>
    <n v="12"/>
    <x v="10"/>
    <x v="1"/>
  </r>
  <r>
    <s v="ORD-1053"/>
    <s v="CUST-116"/>
    <s v="David Brown"/>
    <s v="+91-9359154084"/>
    <d v="2025-01-06T00:00:00"/>
    <x v="5"/>
    <x v="1"/>
    <n v="1"/>
    <n v="19.989999999999998"/>
    <n v="0.1"/>
    <n v="17.989999999999998"/>
    <s v="UPI"/>
    <x v="1"/>
    <x v="0"/>
    <n v="8"/>
    <x v="10"/>
    <x v="1"/>
  </r>
  <r>
    <s v="ORD-1054"/>
    <s v="CUST-102"/>
    <s v="David Brown"/>
    <s v="+91-9842800803"/>
    <d v="2025-01-07T00:00:00"/>
    <x v="6"/>
    <x v="2"/>
    <n v="1"/>
    <n v="45.99"/>
    <n v="0.02"/>
    <n v="45.07"/>
    <s v="PayPal"/>
    <x v="1"/>
    <x v="2"/>
    <n v="9"/>
    <x v="10"/>
    <x v="1"/>
  </r>
  <r>
    <s v="ORD-1055"/>
    <s v="CUST-146"/>
    <s v="Isabella Taylor"/>
    <s v="+91-9477753674"/>
    <d v="2025-01-08T00:00:00"/>
    <x v="0"/>
    <x v="0"/>
    <n v="4"/>
    <n v="89.99"/>
    <n v="0.2"/>
    <n v="287.97000000000003"/>
    <s v="UPI"/>
    <x v="3"/>
    <x v="2"/>
    <n v="4"/>
    <x v="10"/>
    <x v="1"/>
  </r>
  <r>
    <s v="ORD-1056"/>
    <s v="CUST-129"/>
    <s v="Isabella Taylor"/>
    <s v="+91-9841057474"/>
    <d v="2025-01-09T00:00:00"/>
    <x v="7"/>
    <x v="1"/>
    <n v="3"/>
    <n v="79.989999999999995"/>
    <n v="0.02"/>
    <n v="235.17"/>
    <s v="Debit Card"/>
    <x v="0"/>
    <x v="1"/>
    <m/>
    <x v="10"/>
    <x v="1"/>
  </r>
  <r>
    <s v="ORD-1058"/>
    <s v="CUST-107"/>
    <s v="Alice Johnson"/>
    <s v="+91-9413679331"/>
    <d v="2025-01-10T00:00:00"/>
    <x v="4"/>
    <x v="1"/>
    <n v="3"/>
    <n v="39.99"/>
    <n v="0.01"/>
    <n v="118.77"/>
    <s v="Debit Card"/>
    <x v="4"/>
    <x v="3"/>
    <n v="10"/>
    <x v="10"/>
    <x v="1"/>
  </r>
  <r>
    <s v="ORD-1060"/>
    <s v="CUST-105"/>
    <s v="James Anderson"/>
    <s v="+91-9191462297"/>
    <d v="2025-01-11T00:00:00"/>
    <x v="3"/>
    <x v="0"/>
    <n v="2"/>
    <n v="999.99"/>
    <n v="0.03"/>
    <n v="1939.98"/>
    <s v="Credit Card"/>
    <x v="1"/>
    <x v="1"/>
    <n v="10"/>
    <x v="10"/>
    <x v="1"/>
  </r>
  <r>
    <s v="ORD-1061"/>
    <s v="CUST-135"/>
    <s v="Henry Moore"/>
    <s v="+91-9731924051"/>
    <d v="2025-01-12T00:00:00"/>
    <x v="7"/>
    <x v="1"/>
    <n v="5"/>
    <n v="79.989999999999995"/>
    <n v="0.08"/>
    <n v="367.95"/>
    <s v="PayPal"/>
    <x v="1"/>
    <x v="4"/>
    <n v="10"/>
    <x v="10"/>
    <x v="1"/>
  </r>
  <r>
    <s v="ORD-1062"/>
    <s v="CUST-118"/>
    <s v="Bob Smith"/>
    <s v="+91-9357553274"/>
    <d v="2025-01-13T00:00:00"/>
    <x v="7"/>
    <x v="1"/>
    <n v="2"/>
    <n v="79.989999999999995"/>
    <n v="0.05"/>
    <n v="151.97999999999999"/>
    <s v="Net Banking"/>
    <x v="2"/>
    <x v="0"/>
    <n v="7"/>
    <x v="10"/>
    <x v="1"/>
  </r>
  <r>
    <s v="ORD-1063"/>
    <s v="CUST-140"/>
    <s v="David Brown"/>
    <s v="+91-9859088046"/>
    <d v="2025-01-14T00:00:00"/>
    <x v="8"/>
    <x v="1"/>
    <n v="4"/>
    <n v="14.99"/>
    <n v="0.06"/>
    <n v="56.36"/>
    <s v="UPI"/>
    <x v="2"/>
    <x v="0"/>
    <n v="13"/>
    <x v="10"/>
    <x v="1"/>
  </r>
  <r>
    <s v="ORD-1065"/>
    <s v="CUST-123"/>
    <s v="Henry Moore"/>
    <s v="+91-9603260608"/>
    <d v="2025-01-15T00:00:00"/>
    <x v="8"/>
    <x v="1"/>
    <n v="5"/>
    <n v="14.99"/>
    <n v="0.18"/>
    <n v="61.46"/>
    <s v="PayPal"/>
    <x v="4"/>
    <x v="2"/>
    <n v="9"/>
    <x v="10"/>
    <x v="1"/>
  </r>
  <r>
    <s v="ORD-1066"/>
    <s v="CUST-136"/>
    <s v="Grace Wilson"/>
    <s v="+91-9446090161"/>
    <d v="2025-01-16T00:00:00"/>
    <x v="6"/>
    <x v="2"/>
    <n v="1"/>
    <n v="45.99"/>
    <n v="0.12"/>
    <n v="40.47"/>
    <s v="PayPal"/>
    <x v="2"/>
    <x v="3"/>
    <n v="11"/>
    <x v="10"/>
    <x v="1"/>
  </r>
  <r>
    <s v="ORD-1067"/>
    <s v="CUST-112"/>
    <s v="Emma Davis"/>
    <s v="+91-9143198431"/>
    <d v="2025-01-17T00:00:00"/>
    <x v="8"/>
    <x v="1"/>
    <n v="1"/>
    <n v="14.99"/>
    <n v="0.2"/>
    <n v="11.99"/>
    <s v="UPI"/>
    <x v="1"/>
    <x v="1"/>
    <m/>
    <x v="10"/>
    <x v="1"/>
  </r>
  <r>
    <s v="ORD-1068"/>
    <s v="CUST-145"/>
    <s v="Henry Moore"/>
    <s v="+91-9538460431"/>
    <d v="2025-01-18T00:00:00"/>
    <x v="9"/>
    <x v="0"/>
    <n v="4"/>
    <n v="149.99"/>
    <n v="0.19"/>
    <n v="485.97"/>
    <s v="PayPal"/>
    <x v="2"/>
    <x v="0"/>
    <n v="7"/>
    <x v="10"/>
    <x v="1"/>
  </r>
  <r>
    <s v="ORD-1069"/>
    <s v="CUST-104"/>
    <s v="Isabella Taylor"/>
    <s v="+91-9588365604"/>
    <d v="2025-01-19T00:00:00"/>
    <x v="1"/>
    <x v="0"/>
    <n v="4"/>
    <n v="349.99"/>
    <n v="0.16"/>
    <n v="1175.97"/>
    <s v="PayPal"/>
    <x v="3"/>
    <x v="2"/>
    <n v="13"/>
    <x v="10"/>
    <x v="1"/>
  </r>
  <r>
    <s v="ORD-1070"/>
    <s v="CUST-102"/>
    <s v="Isabella Taylor"/>
    <s v="+91-9543721204"/>
    <d v="2025-01-20T00:00:00"/>
    <x v="5"/>
    <x v="1"/>
    <n v="1"/>
    <n v="19.989999999999998"/>
    <m/>
    <n v="17.39"/>
    <s v="Debit Card"/>
    <x v="1"/>
    <x v="2"/>
    <n v="13"/>
    <x v="10"/>
    <x v="1"/>
  </r>
  <r>
    <s v="ORD-1071"/>
    <s v="CUST-142"/>
    <s v="Isabella Taylor"/>
    <s v="+91-9409268943"/>
    <d v="2025-01-21T00:00:00"/>
    <x v="6"/>
    <x v="2"/>
    <n v="1"/>
    <n v="45.99"/>
    <n v="0.04"/>
    <n v="44.15"/>
    <s v="UPI"/>
    <x v="2"/>
    <x v="3"/>
    <n v="10"/>
    <x v="10"/>
    <x v="1"/>
  </r>
  <r>
    <s v="ORD-1072"/>
    <s v="CUST-114"/>
    <s v="Isabella Taylor"/>
    <s v="+91-9200082623"/>
    <d v="2025-01-22T00:00:00"/>
    <x v="4"/>
    <x v="1"/>
    <n v="3"/>
    <n v="39.99"/>
    <n v="0.11"/>
    <n v="106.77"/>
    <s v="Credit Card"/>
    <x v="4"/>
    <x v="3"/>
    <n v="14"/>
    <x v="10"/>
    <x v="1"/>
  </r>
  <r>
    <s v="ORD-1073"/>
    <s v="CUST-149"/>
    <s v="Emma Davis"/>
    <s v="+91-9996278008"/>
    <d v="2025-01-23T00:00:00"/>
    <x v="6"/>
    <x v="2"/>
    <n v="3"/>
    <n v="45.99"/>
    <n v="0.1"/>
    <n v="124.17"/>
    <s v="UPI"/>
    <x v="0"/>
    <x v="1"/>
    <n v="3"/>
    <x v="10"/>
    <x v="1"/>
  </r>
  <r>
    <s v="ORD-1074"/>
    <s v="CUST-118"/>
    <s v="Carol White"/>
    <s v="+91-9396618390"/>
    <d v="2025-01-24T00:00:00"/>
    <x v="7"/>
    <x v="0"/>
    <n v="5"/>
    <n v="79.989999999999995"/>
    <n v="0.1"/>
    <n v="359.95"/>
    <s v="PayPal"/>
    <x v="1"/>
    <x v="2"/>
    <n v="5"/>
    <x v="10"/>
    <x v="1"/>
  </r>
  <r>
    <s v="ORD-1075"/>
    <s v="CUST-105"/>
    <s v="Henry Moore"/>
    <s v="+91-9579476614"/>
    <d v="2025-01-25T00:00:00"/>
    <x v="8"/>
    <x v="1"/>
    <n v="5"/>
    <n v="14.99"/>
    <n v="0.2"/>
    <n v="59.96"/>
    <s v="UPI"/>
    <x v="3"/>
    <x v="2"/>
    <n v="13"/>
    <x v="10"/>
    <x v="1"/>
  </r>
  <r>
    <s v="ORD-1077"/>
    <s v="CUST-106"/>
    <s v="Carol White"/>
    <s v="+91-9139749508"/>
    <d v="2025-01-26T00:00:00"/>
    <x v="9"/>
    <x v="0"/>
    <s v="three"/>
    <n v="149.99"/>
    <n v="0.2"/>
    <n v="479.97"/>
    <s v="Net Banking"/>
    <x v="1"/>
    <x v="2"/>
    <n v="14"/>
    <x v="10"/>
    <x v="1"/>
  </r>
  <r>
    <s v="ORD-1079"/>
    <s v="CUST-117"/>
    <s v="Isabella Taylor"/>
    <s v="+91-9440012324"/>
    <d v="2025-01-27T00:00:00"/>
    <x v="9"/>
    <x v="0"/>
    <n v="1"/>
    <n v="149.99"/>
    <n v="0.17"/>
    <n v="124.49"/>
    <s v="UPI"/>
    <x v="1"/>
    <x v="3"/>
    <n v="2"/>
    <x v="10"/>
    <x v="1"/>
  </r>
  <r>
    <s v="ORD-1080"/>
    <s v="CUST-129"/>
    <s v="Grace Wilson"/>
    <s v="+91-9916440738"/>
    <d v="2025-01-28T00:00:00"/>
    <x v="1"/>
    <x v="0"/>
    <n v="2"/>
    <n v="349.99"/>
    <n v="0.15"/>
    <n v="594.98"/>
    <s v="Credit Card"/>
    <x v="4"/>
    <x v="0"/>
    <n v="5"/>
    <x v="10"/>
    <x v="1"/>
  </r>
  <r>
    <s v="ORD-1081"/>
    <s v="CUST-140"/>
    <s v="Emma Davis"/>
    <s v="+91-9502482554"/>
    <d v="2025-01-29T00:00:00"/>
    <x v="3"/>
    <x v="0"/>
    <n v="3"/>
    <n v="999.99"/>
    <n v="0.16"/>
    <n v="2519.9699999999998"/>
    <s v="Debit Card"/>
    <x v="0"/>
    <x v="4"/>
    <n v="10"/>
    <x v="10"/>
    <x v="1"/>
  </r>
  <r>
    <s v="ORD-1082"/>
    <s v="CUST-123"/>
    <s v="Grace Wilson"/>
    <s v="+91-9833510170"/>
    <d v="2025-01-30T00:00:00"/>
    <x v="4"/>
    <x v="1"/>
    <n v="2"/>
    <n v="39.99"/>
    <n v="0.02"/>
    <n v="78.38"/>
    <s v="UPI"/>
    <x v="1"/>
    <x v="0"/>
    <n v="8"/>
    <x v="10"/>
    <x v="1"/>
  </r>
  <r>
    <s v="ORD-1083"/>
    <s v="CUST-110"/>
    <s v="Henry Moore"/>
    <s v="+91-9827579147"/>
    <d v="2025-01-31T00:00:00"/>
    <x v="6"/>
    <x v="2"/>
    <n v="3"/>
    <n v="45.99"/>
    <n v="0.13"/>
    <n v="120.03"/>
    <s v="Debit Card"/>
    <x v="2"/>
    <x v="1"/>
    <n v="10"/>
    <x v="10"/>
    <x v="1"/>
  </r>
  <r>
    <s v="ORD-1084"/>
    <s v="CUST-123"/>
    <s v="Emma Davis"/>
    <s v="+91-9513061224"/>
    <d v="2025-02-01T00:00:00"/>
    <x v="9"/>
    <x v="0"/>
    <n v="3"/>
    <n v="0"/>
    <n v="0.09"/>
    <n v="409.47"/>
    <s v="Credit Card"/>
    <x v="0"/>
    <x v="1"/>
    <n v="6"/>
    <x v="8"/>
    <x v="1"/>
  </r>
  <r>
    <s v="ORD-1085"/>
    <s v="CUST-122"/>
    <s v="Grace Wilson"/>
    <s v="+91-9108695125"/>
    <d v="2025-02-02T00:00:00"/>
    <x v="1"/>
    <x v="0"/>
    <n v="3"/>
    <n v="349.99"/>
    <n v="0"/>
    <n v="1049.97"/>
    <s v="Credit Card"/>
    <x v="1"/>
    <x v="1"/>
    <n v="13"/>
    <x v="8"/>
    <x v="1"/>
  </r>
  <r>
    <s v="ORD-1086"/>
    <s v="CUST-113"/>
    <s v="David Brown"/>
    <s v="+91-9369108475"/>
    <d v="2025-02-03T00:00:00"/>
    <x v="8"/>
    <x v="1"/>
    <n v="3"/>
    <n v="14.99"/>
    <n v="0.04"/>
    <n v="43.17"/>
    <s v="Debit Card"/>
    <x v="2"/>
    <x v="3"/>
    <n v="13"/>
    <x v="8"/>
    <x v="1"/>
  </r>
  <r>
    <s v="ORD-1087"/>
    <s v="CUST-142"/>
    <s v="Carol White"/>
    <s v="+91-9416872439"/>
    <d v="2025-02-04T00:00:00"/>
    <x v="3"/>
    <x v="0"/>
    <n v="5"/>
    <n v="999.99"/>
    <n v="7.0000000000000007E-2"/>
    <n v="4649.95"/>
    <s v="UPI"/>
    <x v="0"/>
    <x v="0"/>
    <n v="13"/>
    <x v="8"/>
    <x v="1"/>
  </r>
  <r>
    <s v="ORD-1088"/>
    <s v="CUST-117"/>
    <s v="Emma Davis"/>
    <s v="+91-9375919523"/>
    <d v="2025-02-05T00:00:00"/>
    <x v="0"/>
    <x v="0"/>
    <n v="5"/>
    <n v="89.99"/>
    <n v="0.1"/>
    <n v="404.95"/>
    <s v="PayPal"/>
    <x v="3"/>
    <x v="3"/>
    <n v="2"/>
    <x v="8"/>
    <x v="1"/>
  </r>
  <r>
    <s v="ORD-1089"/>
    <s v="CUST-144"/>
    <s v="Isabella Taylor"/>
    <s v="+91-9196961971"/>
    <d v="2025-02-06T00:00:00"/>
    <x v="7"/>
    <x v="1"/>
    <n v="4"/>
    <n v="79.989999999999995"/>
    <n v="0.19"/>
    <n v="259.17"/>
    <s v="Credit Card"/>
    <x v="3"/>
    <x v="4"/>
    <n v="8"/>
    <x v="8"/>
    <x v="1"/>
  </r>
  <r>
    <s v="ORD-1090"/>
    <s v="CUST-143"/>
    <s v="Frank Miller"/>
    <s v="+91-9824600232"/>
    <d v="2025-02-07T00:00:00"/>
    <x v="1"/>
    <x v="0"/>
    <n v="5"/>
    <n v="349.99"/>
    <n v="0.08"/>
    <n v="1609.95"/>
    <s v="UPI"/>
    <x v="2"/>
    <x v="4"/>
    <m/>
    <x v="8"/>
    <x v="1"/>
  </r>
  <r>
    <s v="ORD-1091"/>
    <s v="CUST-141"/>
    <s v="Henry Moore"/>
    <s v="+91-9424474225"/>
    <d v="2025-02-08T00:00:00"/>
    <x v="7"/>
    <x v="1"/>
    <n v="1"/>
    <n v="79.989999999999995"/>
    <n v="0.13"/>
    <n v="69.59"/>
    <s v="UPI"/>
    <x v="2"/>
    <x v="0"/>
    <n v="1"/>
    <x v="8"/>
    <x v="1"/>
  </r>
  <r>
    <s v="ORD-1092"/>
    <s v="CUST-104"/>
    <s v="Isabella Taylor"/>
    <s v="+91-9517305280"/>
    <d v="2025-02-09T00:00:00"/>
    <x v="6"/>
    <x v="2"/>
    <n v="1"/>
    <n v="45.99"/>
    <n v="0.02"/>
    <n v="-50"/>
    <s v="PayPal"/>
    <x v="1"/>
    <x v="1"/>
    <n v="12"/>
    <x v="8"/>
    <x v="1"/>
  </r>
  <r>
    <s v="ORD-1093"/>
    <s v="CUST-138"/>
    <s v="James Anderson"/>
    <s v="+91-9400368694"/>
    <d v="2025-02-10T00:00:00"/>
    <x v="9"/>
    <x v="0"/>
    <n v="1"/>
    <n v="149.99"/>
    <n v="0.17"/>
    <n v="124.49"/>
    <s v="PayPal"/>
    <x v="0"/>
    <x v="1"/>
    <n v="4"/>
    <x v="8"/>
    <x v="1"/>
  </r>
  <r>
    <s v="ORD-1094"/>
    <s v="CUST-140"/>
    <s v="Frank Miller"/>
    <s v="+91-9527499187"/>
    <d v="2025-02-11T00:00:00"/>
    <x v="2"/>
    <x v="1"/>
    <n v="3"/>
    <n v="29.99"/>
    <m/>
    <n v="80.069999999999993"/>
    <s v="Debit Card"/>
    <x v="2"/>
    <x v="1"/>
    <n v="11"/>
    <x v="8"/>
    <x v="1"/>
  </r>
  <r>
    <s v="ORD-1095"/>
    <s v="CUST-110"/>
    <s v="Frank Miller"/>
    <s v="+91-9235209737"/>
    <d v="2025-02-12T00:00:00"/>
    <x v="8"/>
    <x v="1"/>
    <n v="1"/>
    <n v="14.99"/>
    <n v="0.01"/>
    <n v="14.84"/>
    <s v="Debit Card"/>
    <x v="2"/>
    <x v="4"/>
    <n v="10"/>
    <x v="8"/>
    <x v="1"/>
  </r>
  <r>
    <s v="ORD-1096"/>
    <s v="CUST-134"/>
    <s v="James Anderson"/>
    <s v="+91-9397721596"/>
    <d v="2025-02-13T00:00:00"/>
    <x v="7"/>
    <x v="1"/>
    <n v="3"/>
    <n v="79.989999999999995"/>
    <n v="0.15"/>
    <n v="203.97"/>
    <s v="Debit Card"/>
    <x v="1"/>
    <x v="2"/>
    <n v="2"/>
    <x v="8"/>
    <x v="1"/>
  </r>
  <r>
    <s v="ORD-1097"/>
    <s v="CUST-146"/>
    <s v="David Brown"/>
    <s v="+91-9447646966"/>
    <d v="2025-02-14T00:00:00"/>
    <x v="4"/>
    <x v="1"/>
    <n v="1"/>
    <n v="39.99"/>
    <n v="7.0000000000000007E-2"/>
    <n v="37.19"/>
    <s v="Debit Card"/>
    <x v="3"/>
    <x v="3"/>
    <n v="12"/>
    <x v="8"/>
    <x v="1"/>
  </r>
  <r>
    <s v="ORD-1098"/>
    <s v="CUST-115"/>
    <s v="Henry Moore"/>
    <s v="+91-9935389432"/>
    <d v="2025-02-15T00:00:00"/>
    <x v="5"/>
    <x v="1"/>
    <n v="1"/>
    <n v="19.989999999999998"/>
    <n v="0.15"/>
    <n v="16.989999999999998"/>
    <s v="Net Banking"/>
    <x v="1"/>
    <x v="3"/>
    <n v="9"/>
    <x v="8"/>
    <x v="1"/>
  </r>
  <r>
    <s v="ORD-1099"/>
    <s v="CUST-110"/>
    <s v="Isabella Taylor"/>
    <s v="+91-9591819409"/>
    <d v="2025-02-16T00:00:00"/>
    <x v="12"/>
    <x v="1"/>
    <n v="1"/>
    <n v="14.99"/>
    <n v="0.15"/>
    <n v="12.74"/>
    <s v="Credit Card"/>
    <x v="2"/>
    <x v="1"/>
    <n v="7"/>
    <x v="8"/>
    <x v="1"/>
  </r>
  <r>
    <s v="ORD-1100"/>
    <s v="CUST-129"/>
    <s v="Bob Smith"/>
    <s v="+91-9753154389"/>
    <d v="2025-02-17T00:00:00"/>
    <x v="6"/>
    <x v="2"/>
    <n v="4"/>
    <n v="45.99"/>
    <n v="0.01"/>
    <n v="182.12"/>
    <s v="Credit Card"/>
    <x v="0"/>
    <x v="2"/>
    <n v="11"/>
    <x v="8"/>
    <x v="1"/>
  </r>
  <r>
    <s v="ORD-1101"/>
    <s v="CUST-124"/>
    <s v="James Anderson"/>
    <s v="+91-9416644047"/>
    <d v="2025-02-18T00:00:00"/>
    <x v="5"/>
    <x v="1"/>
    <n v="3"/>
    <n v="19.989999999999998"/>
    <m/>
    <n v="55.17"/>
    <s v="Net Banking"/>
    <x v="1"/>
    <x v="1"/>
    <n v="13"/>
    <x v="8"/>
    <x v="1"/>
  </r>
  <r>
    <s v="ORD-1102"/>
    <s v="CUST-117"/>
    <s v="David Brown"/>
    <s v="+91-9463925049"/>
    <d v="2025-02-19T00:00:00"/>
    <x v="5"/>
    <x v="1"/>
    <n v="2"/>
    <n v="19.989999999999998"/>
    <n v="0.09"/>
    <n v="36.380000000000003"/>
    <s v="UPI"/>
    <x v="4"/>
    <x v="3"/>
    <n v="7"/>
    <x v="8"/>
    <x v="1"/>
  </r>
  <r>
    <s v="ORD-1103"/>
    <s v="CUST-140"/>
    <s v="Henry Moore"/>
    <s v="+91-9197951867"/>
    <d v="2025-02-20T00:00:00"/>
    <x v="1"/>
    <x v="0"/>
    <n v="3"/>
    <n v="349.99"/>
    <n v="0.19"/>
    <n v="850.48"/>
    <s v="Credit Card"/>
    <x v="4"/>
    <x v="3"/>
    <n v="12"/>
    <x v="8"/>
    <x v="1"/>
  </r>
  <r>
    <s v="ORD-1104"/>
    <s v="CUST-144"/>
    <s v="Isabella Taylor"/>
    <s v="+91-9453954673"/>
    <d v="2025-02-21T00:00:00"/>
    <x v="4"/>
    <x v="1"/>
    <n v="5"/>
    <n v="39.99"/>
    <n v="0.01"/>
    <s v="₹197.95"/>
    <s v="Credit Card"/>
    <x v="4"/>
    <x v="2"/>
    <n v="13"/>
    <x v="8"/>
    <x v="1"/>
  </r>
  <r>
    <s v="ORD-1105"/>
    <s v="CUST-135"/>
    <s v="Frank Miller"/>
    <s v="+91-9720535283"/>
    <d v="2025-02-22T00:00:00"/>
    <x v="3"/>
    <x v="0"/>
    <n v="3"/>
    <n v="999.99"/>
    <n v="0.12"/>
    <n v="2639.97"/>
    <s v="Debit Card"/>
    <x v="0"/>
    <x v="1"/>
    <n v="14"/>
    <x v="8"/>
    <x v="1"/>
  </r>
  <r>
    <s v="ORD-1106"/>
    <s v="CUST-114"/>
    <s v="Emma Davis"/>
    <s v="+91-9342836476"/>
    <d v="2025-02-23T00:00:00"/>
    <x v="0"/>
    <x v="0"/>
    <n v="5"/>
    <n v="89.99"/>
    <n v="7.0000000000000007E-2"/>
    <n v="418.45"/>
    <s v="Net Banking"/>
    <x v="1"/>
    <x v="4"/>
    <n v="11"/>
    <x v="8"/>
    <x v="1"/>
  </r>
  <r>
    <s v="ORD-1107"/>
    <s v="CUST-143"/>
    <s v="Emma Davis"/>
    <s v="+91-9293720285"/>
    <d v="2025-02-24T00:00:00"/>
    <x v="3"/>
    <x v="0"/>
    <n v="5"/>
    <n v="999.99"/>
    <n v="0.19"/>
    <n v="4049.96"/>
    <s v="PayPal"/>
    <x v="3"/>
    <x v="2"/>
    <n v="3"/>
    <x v="8"/>
    <x v="1"/>
  </r>
  <r>
    <s v="ORD-1108"/>
    <s v="CUST-120"/>
    <s v="Alice Johnson"/>
    <s v="+91-9901131404"/>
    <d v="2025-02-25T00:00:00"/>
    <x v="8"/>
    <x v="1"/>
    <n v="4"/>
    <n v="14.99"/>
    <n v="0.01"/>
    <n v="59.36"/>
    <s v="Debit Card"/>
    <x v="4"/>
    <x v="1"/>
    <n v="6"/>
    <x v="8"/>
    <x v="1"/>
  </r>
  <r>
    <s v="ORD-1109"/>
    <s v="CUST-149"/>
    <s v="James Anderson"/>
    <m/>
    <d v="2025-02-26T00:00:00"/>
    <x v="0"/>
    <x v="0"/>
    <n v="3"/>
    <n v="89.99"/>
    <n v="0.14000000000000001"/>
    <n v="232.17"/>
    <s v="Debit Card"/>
    <x v="0"/>
    <x v="4"/>
    <n v="11"/>
    <x v="8"/>
    <x v="1"/>
  </r>
  <r>
    <s v="ORD-1110"/>
    <s v="CUST-149"/>
    <s v="Henry Moore"/>
    <m/>
    <d v="2025-02-27T00:00:00"/>
    <x v="1"/>
    <x v="0"/>
    <n v="4"/>
    <n v="349.99"/>
    <n v="0.13"/>
    <n v="1217.97"/>
    <s v="PayPal"/>
    <x v="0"/>
    <x v="4"/>
    <n v="6"/>
    <x v="8"/>
    <x v="1"/>
  </r>
  <r>
    <s v="ORD-1111"/>
    <s v="CUST-103"/>
    <s v="James Anderson"/>
    <s v="+91-9665791188"/>
    <d v="2025-02-28T00:00:00"/>
    <x v="2"/>
    <x v="1"/>
    <s v="N/A"/>
    <n v="29.99"/>
    <n v="0.14000000000000001"/>
    <n v="77.37"/>
    <s v="PayPal"/>
    <x v="2"/>
    <x v="0"/>
    <n v="10"/>
    <x v="8"/>
    <x v="1"/>
  </r>
  <r>
    <s v="ORD-1112"/>
    <s v="CUST-114"/>
    <s v="David Brown"/>
    <s v="+91-9247354744"/>
    <d v="2025-03-01T00:00:00"/>
    <x v="3"/>
    <x v="0"/>
    <n v="2"/>
    <n v="999.99"/>
    <n v="0.06"/>
    <n v="1879.98"/>
    <s v="PayPal"/>
    <x v="3"/>
    <x v="3"/>
    <n v="8"/>
    <x v="0"/>
    <x v="1"/>
  </r>
  <r>
    <s v="ORD-1113"/>
    <s v="CUST-102"/>
    <s v="David Brown"/>
    <s v="+91-9699924859"/>
    <d v="2025-03-02T00:00:00"/>
    <x v="4"/>
    <x v="1"/>
    <n v="2"/>
    <n v="39.99"/>
    <n v="0.08"/>
    <n v="73.58"/>
    <s v="PayPal"/>
    <x v="2"/>
    <x v="1"/>
    <n v="1"/>
    <x v="0"/>
    <x v="1"/>
  </r>
  <r>
    <s v="ORD-1114"/>
    <s v="CUST-120"/>
    <s v="Frank Miller"/>
    <s v="+91-9560940492"/>
    <d v="2025-03-03T00:00:00"/>
    <x v="3"/>
    <x v="0"/>
    <n v="4"/>
    <n v="999.99"/>
    <m/>
    <n v="3279.97"/>
    <s v="UPI"/>
    <x v="4"/>
    <x v="2"/>
    <n v="7"/>
    <x v="0"/>
    <x v="1"/>
  </r>
  <r>
    <s v="ORD-1115"/>
    <s v="CUST-125"/>
    <s v="James Anderson"/>
    <s v="+91-9993381017"/>
    <d v="2025-03-04T00:00:00"/>
    <x v="0"/>
    <x v="0"/>
    <n v="2"/>
    <n v="89.99"/>
    <n v="0.16"/>
    <n v="151.18"/>
    <s v="PayPal"/>
    <x v="2"/>
    <x v="1"/>
    <n v="4"/>
    <x v="0"/>
    <x v="1"/>
  </r>
  <r>
    <s v="ORD-1116"/>
    <s v="CUST-117"/>
    <s v="Grace Wilson"/>
    <s v="+91-9900801837"/>
    <d v="2025-03-05T00:00:00"/>
    <x v="8"/>
    <x v="1"/>
    <n v="4"/>
    <n v="14.99"/>
    <m/>
    <n v="53.96"/>
    <s v="Debit Card"/>
    <x v="3"/>
    <x v="0"/>
    <n v="-3"/>
    <x v="0"/>
    <x v="1"/>
  </r>
  <r>
    <s v="ORD-1117"/>
    <s v="CUST-104"/>
    <s v="Frank Miller"/>
    <s v="+91-9881017363"/>
    <d v="2025-03-06T00:00:00"/>
    <x v="5"/>
    <x v="0"/>
    <n v="5"/>
    <n v="19.989999999999998"/>
    <n v="0.04"/>
    <n v="95.95"/>
    <s v="Debit Card"/>
    <x v="0"/>
    <x v="3"/>
    <n v="5"/>
    <x v="0"/>
    <x v="1"/>
  </r>
  <r>
    <s v="ORD-1118"/>
    <s v="CUST-113"/>
    <s v="Bob Smith"/>
    <s v="+91-9929839316"/>
    <d v="2025-03-07T00:00:00"/>
    <x v="4"/>
    <x v="1"/>
    <n v="5"/>
    <n v="39.99"/>
    <n v="0.03"/>
    <n v="193.95"/>
    <s v="UPI"/>
    <x v="4"/>
    <x v="4"/>
    <n v="8"/>
    <x v="0"/>
    <x v="1"/>
  </r>
  <r>
    <s v="ORD-1119"/>
    <s v="CUST-136"/>
    <s v="Frank Miller"/>
    <s v="+91-9572191734"/>
    <d v="2025-03-08T00:00:00"/>
    <x v="8"/>
    <x v="1"/>
    <n v="3"/>
    <n v="14.99"/>
    <n v="0.17"/>
    <n v="37.33"/>
    <s v="UPI"/>
    <x v="4"/>
    <x v="2"/>
    <n v="10"/>
    <x v="0"/>
    <x v="1"/>
  </r>
  <r>
    <s v="ORD-1095"/>
    <s v="CUST-110"/>
    <s v="Frank Miller"/>
    <s v="+91-9235209737"/>
    <d v="2025-03-09T00:00:00"/>
    <x v="8"/>
    <x v="1"/>
    <n v="1"/>
    <n v="14.99"/>
    <n v="0.01"/>
    <n v="14.84"/>
    <s v="Debit Card"/>
    <x v="2"/>
    <x v="4"/>
    <n v="10"/>
    <x v="0"/>
    <x v="1"/>
  </r>
  <r>
    <s v="ORD-1054"/>
    <s v="CUST-102"/>
    <s v="David Brown"/>
    <s v="+91-9842800803"/>
    <d v="2025-03-10T00:00:00"/>
    <x v="6"/>
    <x v="2"/>
    <n v="1"/>
    <n v="45.99"/>
    <n v="0.02"/>
    <n v="45.07"/>
    <s v="PayPal"/>
    <x v="1"/>
    <x v="2"/>
    <n v="9"/>
    <x v="0"/>
    <x v="1"/>
  </r>
  <r>
    <s v="ORD-1059"/>
    <s v="CUST-124"/>
    <s v="Carol White"/>
    <s v="+91-9371096600"/>
    <d v="2025-03-11T00:00:00"/>
    <x v="6"/>
    <x v="2"/>
    <n v="4"/>
    <n v="45.99"/>
    <m/>
    <n v="167.4"/>
    <s v="Credit Card"/>
    <x v="2"/>
    <x v="1"/>
    <n v="2"/>
    <x v="0"/>
    <x v="1"/>
  </r>
  <r>
    <s v="ORD-1117"/>
    <s v="CUST-104"/>
    <s v="Frank Miller"/>
    <s v="+91-9881017363"/>
    <d v="2025-03-12T00:00:00"/>
    <x v="5"/>
    <x v="1"/>
    <n v="5"/>
    <n v="19.989999999999998"/>
    <n v="0.04"/>
    <n v="95.95"/>
    <s v="PayPal"/>
    <x v="0"/>
    <x v="3"/>
    <n v="5"/>
    <x v="0"/>
    <x v="1"/>
  </r>
  <r>
    <s v="ORD-1077"/>
    <s v="CUST-106"/>
    <s v="Carol White"/>
    <s v="+91-9139749508"/>
    <d v="2025-03-13T00:00:00"/>
    <x v="9"/>
    <x v="0"/>
    <n v="4"/>
    <n v="149.99"/>
    <n v="0.2"/>
    <n v="479.97"/>
    <s v="Net Banking"/>
    <x v="1"/>
    <x v="2"/>
    <n v="14"/>
    <x v="0"/>
    <x v="1"/>
  </r>
  <r>
    <s v="ORD-1010"/>
    <s v="CUST-143"/>
    <s v="James Anderson"/>
    <m/>
    <d v="2025-03-14T00:00:00"/>
    <x v="7"/>
    <x v="1"/>
    <n v="5"/>
    <n v="79.989999999999995"/>
    <n v="0.03"/>
    <n v="387.95"/>
    <s v="UPI"/>
    <x v="0"/>
    <x v="0"/>
    <n v="2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810B5-FA52-477C-8791-CF1FD9E6D18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0:D11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Quantity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DA6FE-F453-4686-A2A0-EC6E9A597092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11:F17" firstHeaderRow="1" firstDataRow="1" firstDataCol="1"/>
  <pivotFields count="1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9B81D-2AF9-4B2D-BB39-10F2D3BB22B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F2:G8" firstHeaderRow="1" firstDataRow="1" firstDataCol="1"/>
  <pivotFields count="1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Amount" fld="10" baseField="13" baseItem="0" numFmtId="44"/>
  </dataFields>
  <formats count="1">
    <format dxfId="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D2262-E981-409E-A89D-9B45EE03A2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C14:D18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6" subtotal="count" baseField="0" baseItem="0"/>
  </dataFields>
  <chartFormats count="4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7A912-BE22-4E83-A8D9-AB588AFFDA3D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J8:K2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2">
        <item x="10"/>
        <item x="8"/>
        <item x="0"/>
        <item x="1"/>
        <item x="6"/>
        <item x="4"/>
        <item x="2"/>
        <item x="7"/>
        <item x="5"/>
        <item x="3"/>
        <item x="9"/>
        <item t="default"/>
      </items>
    </pivotField>
    <pivotField showAll="0"/>
  </pivotFields>
  <rowFields count="1">
    <field x="1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Amount" fld="10" baseField="15" baseItem="8" numFmtId="44"/>
  </dataFields>
  <formats count="1">
    <format dxfId="1">
      <pivotArea outline="0" collapsedLevelsAreSubtotals="1" fieldPosition="0"/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955D6-2E02-4147-8EC1-84218C5584D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7:D8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Total Amount" fld="10" baseField="13" baseItem="0" numFmtId="4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9F385-DF4F-4EDF-A245-FAB4E71F3260}" name="PivotTable2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2:C36" firstHeaderRow="1" firstDataRow="1" firstDataCol="1"/>
  <pivotFields count="17">
    <pivotField showAll="0"/>
    <pivotField showAll="0"/>
    <pivotField showAll="0"/>
    <pivotField showAll="0"/>
    <pivotField showAll="0"/>
    <pivotField axis="axisRow" dataField="1" showAll="0" sortType="descending">
      <items count="14">
        <item x="12"/>
        <item x="10"/>
        <item x="11"/>
        <item x="8"/>
        <item x="6"/>
        <item x="9"/>
        <item x="7"/>
        <item x="3"/>
        <item x="1"/>
        <item x="5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4">
    <i>
      <x v="6"/>
    </i>
    <i>
      <x v="3"/>
    </i>
    <i>
      <x v="4"/>
    </i>
    <i>
      <x v="9"/>
    </i>
    <i>
      <x v="10"/>
    </i>
    <i>
      <x v="8"/>
    </i>
    <i>
      <x v="7"/>
    </i>
    <i>
      <x v="11"/>
    </i>
    <i>
      <x v="12"/>
    </i>
    <i>
      <x v="5"/>
    </i>
    <i>
      <x v="2"/>
    </i>
    <i>
      <x v="1"/>
    </i>
    <i>
      <x/>
    </i>
    <i t="grand">
      <x/>
    </i>
  </rowItems>
  <colItems count="1">
    <i/>
  </colItems>
  <dataFields count="1">
    <dataField name="Count of Produc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D606F-ACA0-457B-B910-E95BC4F7EC40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-G20">
  <location ref="E30:F46" firstHeaderRow="1" firstDataRow="1" firstDataCol="1"/>
  <pivotFields count="17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2">
        <item x="10"/>
        <item x="8"/>
        <item x="0"/>
        <item x="1"/>
        <item x="6"/>
        <item x="4"/>
        <item x="2"/>
        <item x="7"/>
        <item x="5"/>
        <item x="3"/>
        <item x="9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16"/>
    <field x="15"/>
  </rowFields>
  <rowItems count="16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 Amount" fld="10" baseField="16" baseItem="0" numFmtId="4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A2292-AB3C-4555-B2EB-2101486A1D56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4:M5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Unit Price" fld="8" subtotal="average" baseField="0" baseItem="9" numFmtId="4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A4EC7D-E2FE-4D09-AFE9-00FB298D3856}" name="Table4" displayName="Table4" ref="A1:O117" totalsRowShown="0">
  <autoFilter ref="A1:O117" xr:uid="{82A4EC7D-E2FE-4D09-AFE9-00FB298D3856}"/>
  <tableColumns count="15">
    <tableColumn id="1" xr3:uid="{CEFD5E65-4447-43A5-85BE-A53CB7C7651C}" name="Order ID"/>
    <tableColumn id="2" xr3:uid="{82B5BDB6-F1D0-4DF8-AD3D-E507B094E191}" name="Customer ID"/>
    <tableColumn id="3" xr3:uid="{59BD3C03-2A23-4E2D-A033-4B4EC9C1AC44}" name="Customer Name"/>
    <tableColumn id="4" xr3:uid="{4606F5DF-39C8-4CF0-8EA5-CBF0D1D46E60}" name="Phone"/>
    <tableColumn id="5" xr3:uid="{5CA4649C-42CD-45EC-B3D0-DF6C2C68BE1D}" name="Order Date" dataDxfId="8"/>
    <tableColumn id="6" xr3:uid="{799ADDA7-C415-447D-BE5F-A999684F754C}" name="Product"/>
    <tableColumn id="7" xr3:uid="{4CB5763B-E996-4D7F-8143-797C5A8218C5}" name="Category"/>
    <tableColumn id="8" xr3:uid="{010A11FA-2349-4357-A0F4-9890AA5DC380}" name="Quantity"/>
    <tableColumn id="9" xr3:uid="{1B9A5217-6EEE-4682-A1C6-3652D99E947D}" name="Unit Price" dataDxfId="7" dataCellStyle="Currency"/>
    <tableColumn id="10" xr3:uid="{04B479C8-1908-4A41-8C1D-8C04863F1A2B}" name="Discount" dataDxfId="6" dataCellStyle="Percent"/>
    <tableColumn id="11" xr3:uid="{EE9FB91B-A81B-45F4-9A0A-546B666C38FF}" name="Total Amount" dataDxfId="5" dataCellStyle="Currency"/>
    <tableColumn id="12" xr3:uid="{4C603149-5CF2-4615-B18D-C63B2ACBF94F}" name="Payment Method"/>
    <tableColumn id="13" xr3:uid="{CEE1D60A-DA2F-4E2A-B69A-8BD524359825}" name="Order Status"/>
    <tableColumn id="14" xr3:uid="{26C77414-79CF-4109-8127-3FEFA486FB44}" name="Country"/>
    <tableColumn id="16" xr3:uid="{79BC8FBA-D283-4306-A0AD-5123B837D4F5}" name="Shipping D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zoomScale="85" zoomScaleNormal="85" workbookViewId="0">
      <selection activeCell="P8" sqref="P8"/>
    </sheetView>
  </sheetViews>
  <sheetFormatPr defaultRowHeight="14.6" x14ac:dyDescent="0.4"/>
  <cols>
    <col min="1" max="1" width="9.84375" customWidth="1"/>
    <col min="2" max="2" width="13.15234375" customWidth="1"/>
    <col min="3" max="3" width="16.23046875" customWidth="1"/>
    <col min="4" max="4" width="14.53515625" bestFit="1" customWidth="1"/>
    <col min="5" max="5" width="12.765625" style="15" bestFit="1" customWidth="1"/>
    <col min="6" max="6" width="13.921875" bestFit="1" customWidth="1"/>
    <col min="7" max="7" width="11.07421875" bestFit="1" customWidth="1"/>
    <col min="8" max="8" width="10.07421875" customWidth="1"/>
    <col min="9" max="9" width="10.765625" customWidth="1"/>
    <col min="10" max="10" width="10.07421875" customWidth="1"/>
    <col min="11" max="11" width="14.23046875" customWidth="1"/>
    <col min="12" max="12" width="17.3046875" customWidth="1"/>
    <col min="13" max="13" width="13.3046875" customWidth="1"/>
    <col min="14" max="14" width="9.3828125" customWidth="1"/>
    <col min="15" max="15" width="14.23046875" customWidth="1"/>
  </cols>
  <sheetData>
    <row r="1" spans="1:15" s="1" customFormat="1" ht="15.9" x14ac:dyDescent="0.45">
      <c r="A1" t="s">
        <v>0</v>
      </c>
      <c r="B1" t="s">
        <v>1</v>
      </c>
      <c r="C1" t="s">
        <v>2</v>
      </c>
      <c r="D1" t="s">
        <v>3</v>
      </c>
      <c r="E1" s="1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15</v>
      </c>
      <c r="B2" t="s">
        <v>16</v>
      </c>
      <c r="C2" t="s">
        <v>17</v>
      </c>
      <c r="D2" t="s">
        <v>18</v>
      </c>
      <c r="E2" s="15">
        <v>45365</v>
      </c>
      <c r="F2" t="s">
        <v>19</v>
      </c>
      <c r="G2" t="s">
        <v>20</v>
      </c>
      <c r="H2">
        <v>2</v>
      </c>
      <c r="I2" s="3">
        <v>89.99</v>
      </c>
      <c r="J2" s="4">
        <v>0.13</v>
      </c>
      <c r="K2" s="3">
        <v>156.58000000000001</v>
      </c>
      <c r="L2" t="s">
        <v>21</v>
      </c>
      <c r="M2" t="s">
        <v>22</v>
      </c>
      <c r="N2" t="s">
        <v>23</v>
      </c>
      <c r="O2">
        <v>9</v>
      </c>
    </row>
    <row r="3" spans="1:15" x14ac:dyDescent="0.4">
      <c r="A3" t="s">
        <v>24</v>
      </c>
      <c r="B3" t="s">
        <v>25</v>
      </c>
      <c r="C3" t="s">
        <v>26</v>
      </c>
      <c r="D3" t="s">
        <v>27</v>
      </c>
      <c r="E3" s="15">
        <v>45404</v>
      </c>
      <c r="F3" t="s">
        <v>28</v>
      </c>
      <c r="G3" t="s">
        <v>20</v>
      </c>
      <c r="H3">
        <v>5</v>
      </c>
      <c r="I3" s="3">
        <v>349.99</v>
      </c>
      <c r="J3" s="4">
        <v>0.09</v>
      </c>
      <c r="K3" s="3">
        <v>1592.45</v>
      </c>
      <c r="L3" t="s">
        <v>29</v>
      </c>
      <c r="M3" t="s">
        <v>30</v>
      </c>
      <c r="N3" t="s">
        <v>31</v>
      </c>
      <c r="O3">
        <v>13</v>
      </c>
    </row>
    <row r="4" spans="1:15" x14ac:dyDescent="0.4">
      <c r="A4" t="s">
        <v>32</v>
      </c>
      <c r="B4" t="s">
        <v>33</v>
      </c>
      <c r="C4" t="s">
        <v>17</v>
      </c>
      <c r="D4" t="s">
        <v>34</v>
      </c>
      <c r="E4" s="15">
        <v>45489</v>
      </c>
      <c r="F4" t="s">
        <v>35</v>
      </c>
      <c r="G4" t="s">
        <v>36</v>
      </c>
      <c r="H4">
        <v>2</v>
      </c>
      <c r="I4" s="3">
        <v>29.99</v>
      </c>
      <c r="J4" s="4">
        <v>0.13</v>
      </c>
      <c r="K4" s="3">
        <v>52.18</v>
      </c>
      <c r="L4" t="s">
        <v>37</v>
      </c>
      <c r="M4" t="s">
        <v>30</v>
      </c>
      <c r="N4" t="s">
        <v>31</v>
      </c>
      <c r="O4">
        <v>5</v>
      </c>
    </row>
    <row r="5" spans="1:15" x14ac:dyDescent="0.4">
      <c r="A5" t="s">
        <v>38</v>
      </c>
      <c r="B5" t="s">
        <v>39</v>
      </c>
      <c r="C5" t="s">
        <v>40</v>
      </c>
      <c r="D5" t="s">
        <v>41</v>
      </c>
      <c r="E5" s="15">
        <v>45620</v>
      </c>
      <c r="F5" t="s">
        <v>42</v>
      </c>
      <c r="G5" t="s">
        <v>20</v>
      </c>
      <c r="H5">
        <v>1</v>
      </c>
      <c r="I5" s="3">
        <v>999.99</v>
      </c>
      <c r="J5" s="4">
        <v>0.14000000000000001</v>
      </c>
      <c r="K5" s="3">
        <v>859.99</v>
      </c>
      <c r="L5" t="s">
        <v>21</v>
      </c>
      <c r="M5" t="s">
        <v>43</v>
      </c>
      <c r="N5" t="s">
        <v>44</v>
      </c>
      <c r="O5">
        <v>3</v>
      </c>
    </row>
    <row r="6" spans="1:15" x14ac:dyDescent="0.4">
      <c r="A6" t="s">
        <v>47</v>
      </c>
      <c r="B6" t="s">
        <v>48</v>
      </c>
      <c r="C6" t="s">
        <v>40</v>
      </c>
      <c r="D6" t="s">
        <v>49</v>
      </c>
      <c r="E6" s="15">
        <v>45457</v>
      </c>
      <c r="F6" t="s">
        <v>50</v>
      </c>
      <c r="G6" t="s">
        <v>36</v>
      </c>
      <c r="H6">
        <v>5</v>
      </c>
      <c r="I6" s="3">
        <v>39.99</v>
      </c>
      <c r="J6" s="4">
        <v>0.13</v>
      </c>
      <c r="K6" s="3">
        <v>161.96</v>
      </c>
      <c r="L6" t="s">
        <v>37</v>
      </c>
      <c r="M6" t="s">
        <v>43</v>
      </c>
      <c r="N6" t="s">
        <v>51</v>
      </c>
      <c r="O6">
        <v>14</v>
      </c>
    </row>
    <row r="7" spans="1:15" x14ac:dyDescent="0.4">
      <c r="A7" t="s">
        <v>55</v>
      </c>
      <c r="B7" t="s">
        <v>56</v>
      </c>
      <c r="C7" t="s">
        <v>26</v>
      </c>
      <c r="D7" t="s">
        <v>57</v>
      </c>
      <c r="E7" s="15">
        <v>45568</v>
      </c>
      <c r="F7" t="s">
        <v>58</v>
      </c>
      <c r="G7" t="s">
        <v>36</v>
      </c>
      <c r="H7">
        <v>2</v>
      </c>
      <c r="I7" s="3">
        <v>19.989999999999998</v>
      </c>
      <c r="J7" s="4">
        <v>0.05</v>
      </c>
      <c r="K7" s="3">
        <v>37.979999999999997</v>
      </c>
      <c r="L7" t="s">
        <v>29</v>
      </c>
      <c r="M7" t="s">
        <v>59</v>
      </c>
      <c r="N7" t="s">
        <v>31</v>
      </c>
      <c r="O7">
        <v>11</v>
      </c>
    </row>
    <row r="8" spans="1:15" x14ac:dyDescent="0.4">
      <c r="A8" t="s">
        <v>60</v>
      </c>
      <c r="B8" t="s">
        <v>39</v>
      </c>
      <c r="C8" t="s">
        <v>61</v>
      </c>
      <c r="D8" t="s">
        <v>62</v>
      </c>
      <c r="E8" s="15">
        <v>45465</v>
      </c>
      <c r="F8" t="s">
        <v>63</v>
      </c>
      <c r="G8" t="s">
        <v>64</v>
      </c>
      <c r="H8">
        <v>5</v>
      </c>
      <c r="I8" s="3">
        <v>45.99</v>
      </c>
      <c r="J8" s="4">
        <v>0.09</v>
      </c>
      <c r="K8" s="3">
        <v>209.25</v>
      </c>
      <c r="L8" t="s">
        <v>54</v>
      </c>
      <c r="M8" t="s">
        <v>30</v>
      </c>
      <c r="N8" t="s">
        <v>46</v>
      </c>
      <c r="O8">
        <v>10</v>
      </c>
    </row>
    <row r="9" spans="1:15" x14ac:dyDescent="0.4">
      <c r="A9" t="s">
        <v>66</v>
      </c>
      <c r="B9" t="s">
        <v>67</v>
      </c>
      <c r="C9" t="s">
        <v>26</v>
      </c>
      <c r="D9" t="s">
        <v>68</v>
      </c>
      <c r="E9" s="15">
        <v>45416</v>
      </c>
      <c r="F9" t="s">
        <v>53</v>
      </c>
      <c r="G9" t="s">
        <v>36</v>
      </c>
      <c r="H9">
        <v>5</v>
      </c>
      <c r="I9" s="3">
        <v>39.99</v>
      </c>
      <c r="J9" s="4">
        <v>0.03</v>
      </c>
      <c r="K9" s="3">
        <v>387.95</v>
      </c>
      <c r="L9" t="s">
        <v>37</v>
      </c>
      <c r="M9" t="s">
        <v>69</v>
      </c>
      <c r="N9" t="s">
        <v>23</v>
      </c>
      <c r="O9">
        <v>2</v>
      </c>
    </row>
    <row r="10" spans="1:15" x14ac:dyDescent="0.4">
      <c r="A10" t="s">
        <v>70</v>
      </c>
      <c r="B10" t="s">
        <v>39</v>
      </c>
      <c r="C10" t="s">
        <v>71</v>
      </c>
      <c r="D10" t="s">
        <v>333</v>
      </c>
      <c r="E10" s="15">
        <v>45622</v>
      </c>
      <c r="F10" t="s">
        <v>19</v>
      </c>
      <c r="G10" t="s">
        <v>20</v>
      </c>
      <c r="H10">
        <v>4</v>
      </c>
      <c r="I10" s="3">
        <v>89.99</v>
      </c>
      <c r="J10" s="4">
        <v>0.08</v>
      </c>
      <c r="K10" s="3">
        <v>331.16</v>
      </c>
      <c r="L10" t="s">
        <v>54</v>
      </c>
      <c r="M10" t="s">
        <v>43</v>
      </c>
      <c r="N10" t="s">
        <v>31</v>
      </c>
      <c r="O10">
        <v>6</v>
      </c>
    </row>
    <row r="11" spans="1:15" x14ac:dyDescent="0.4">
      <c r="A11" t="s">
        <v>74</v>
      </c>
      <c r="B11" t="s">
        <v>75</v>
      </c>
      <c r="C11" t="s">
        <v>40</v>
      </c>
      <c r="D11" t="s">
        <v>76</v>
      </c>
      <c r="E11" s="15">
        <v>45413</v>
      </c>
      <c r="F11" t="s">
        <v>35</v>
      </c>
      <c r="G11" t="s">
        <v>36</v>
      </c>
      <c r="H11">
        <v>1</v>
      </c>
      <c r="I11" s="3">
        <v>29.99</v>
      </c>
      <c r="J11" s="4">
        <v>0.13</v>
      </c>
      <c r="K11" s="3">
        <v>26.09</v>
      </c>
      <c r="L11" t="s">
        <v>29</v>
      </c>
      <c r="M11" t="s">
        <v>69</v>
      </c>
      <c r="N11" t="s">
        <v>31</v>
      </c>
      <c r="O11">
        <v>4</v>
      </c>
    </row>
    <row r="12" spans="1:15" x14ac:dyDescent="0.4">
      <c r="A12" t="s">
        <v>77</v>
      </c>
      <c r="B12" t="s">
        <v>78</v>
      </c>
      <c r="C12" t="s">
        <v>17</v>
      </c>
      <c r="D12" t="s">
        <v>79</v>
      </c>
      <c r="E12" s="15">
        <v>45524</v>
      </c>
      <c r="F12" t="s">
        <v>42</v>
      </c>
      <c r="G12" t="s">
        <v>20</v>
      </c>
      <c r="H12">
        <v>2</v>
      </c>
      <c r="I12" s="3">
        <v>999.99</v>
      </c>
      <c r="J12" s="4">
        <v>0.08</v>
      </c>
      <c r="K12" s="3">
        <v>1839.98</v>
      </c>
      <c r="L12" t="s">
        <v>21</v>
      </c>
      <c r="M12" t="s">
        <v>69</v>
      </c>
      <c r="N12" t="s">
        <v>46</v>
      </c>
      <c r="O12">
        <v>12</v>
      </c>
    </row>
    <row r="13" spans="1:15" x14ac:dyDescent="0.4">
      <c r="A13" t="s">
        <v>80</v>
      </c>
      <c r="B13" t="s">
        <v>81</v>
      </c>
      <c r="C13" t="s">
        <v>71</v>
      </c>
      <c r="D13" t="s">
        <v>82</v>
      </c>
      <c r="E13" s="15">
        <v>45569</v>
      </c>
      <c r="F13" t="s">
        <v>50</v>
      </c>
      <c r="G13" t="s">
        <v>36</v>
      </c>
      <c r="H13">
        <v>2</v>
      </c>
      <c r="I13" s="3">
        <v>39.99</v>
      </c>
      <c r="J13" s="4">
        <v>0.06</v>
      </c>
      <c r="K13" s="3">
        <v>75.180000000000007</v>
      </c>
      <c r="L13" t="s">
        <v>54</v>
      </c>
      <c r="M13" t="s">
        <v>59</v>
      </c>
      <c r="N13" t="s">
        <v>51</v>
      </c>
      <c r="O13">
        <v>10</v>
      </c>
    </row>
    <row r="14" spans="1:15" x14ac:dyDescent="0.4">
      <c r="A14" t="s">
        <v>83</v>
      </c>
      <c r="B14" t="s">
        <v>84</v>
      </c>
      <c r="C14" t="s">
        <v>40</v>
      </c>
      <c r="D14" t="s">
        <v>85</v>
      </c>
      <c r="E14" s="15">
        <v>45327</v>
      </c>
      <c r="F14" t="s">
        <v>58</v>
      </c>
      <c r="G14" t="s">
        <v>36</v>
      </c>
      <c r="H14">
        <v>5</v>
      </c>
      <c r="I14" s="3">
        <v>19.989999999999998</v>
      </c>
      <c r="J14" s="4">
        <v>0.03</v>
      </c>
      <c r="K14" s="3">
        <v>96.95</v>
      </c>
      <c r="L14" t="s">
        <v>86</v>
      </c>
      <c r="M14" t="s">
        <v>43</v>
      </c>
      <c r="N14" t="s">
        <v>23</v>
      </c>
      <c r="O14">
        <v>2</v>
      </c>
    </row>
    <row r="15" spans="1:15" x14ac:dyDescent="0.4">
      <c r="A15" t="s">
        <v>87</v>
      </c>
      <c r="B15" t="s">
        <v>33</v>
      </c>
      <c r="C15" t="s">
        <v>26</v>
      </c>
      <c r="D15" t="s">
        <v>88</v>
      </c>
      <c r="E15" s="15">
        <v>45628</v>
      </c>
      <c r="F15" t="s">
        <v>53</v>
      </c>
      <c r="G15" t="s">
        <v>36</v>
      </c>
      <c r="H15">
        <v>5</v>
      </c>
      <c r="I15" s="3">
        <v>79.989999999999995</v>
      </c>
      <c r="J15" s="4">
        <v>0.12</v>
      </c>
      <c r="K15" s="3">
        <v>351.96</v>
      </c>
      <c r="L15" t="s">
        <v>86</v>
      </c>
      <c r="M15" t="s">
        <v>30</v>
      </c>
      <c r="N15" t="s">
        <v>46</v>
      </c>
      <c r="O15">
        <v>5</v>
      </c>
    </row>
    <row r="16" spans="1:15" x14ac:dyDescent="0.4">
      <c r="A16" t="s">
        <v>89</v>
      </c>
      <c r="B16" t="s">
        <v>75</v>
      </c>
      <c r="C16" t="s">
        <v>90</v>
      </c>
      <c r="D16" t="s">
        <v>91</v>
      </c>
      <c r="E16" s="15">
        <v>45629</v>
      </c>
      <c r="F16" t="s">
        <v>19</v>
      </c>
      <c r="G16" t="s">
        <v>20</v>
      </c>
      <c r="H16">
        <v>2</v>
      </c>
      <c r="I16" s="3">
        <v>89.99</v>
      </c>
      <c r="J16" s="4">
        <v>0.05</v>
      </c>
      <c r="K16" s="3">
        <v>170.98</v>
      </c>
      <c r="L16" t="s">
        <v>37</v>
      </c>
      <c r="M16" t="s">
        <v>59</v>
      </c>
      <c r="N16" t="s">
        <v>51</v>
      </c>
      <c r="O16">
        <v>8</v>
      </c>
    </row>
    <row r="17" spans="1:15" x14ac:dyDescent="0.4">
      <c r="A17" t="s">
        <v>93</v>
      </c>
      <c r="B17" t="s">
        <v>94</v>
      </c>
      <c r="C17" t="s">
        <v>61</v>
      </c>
      <c r="D17" t="s">
        <v>95</v>
      </c>
      <c r="E17" s="15">
        <v>45630</v>
      </c>
      <c r="F17" t="s">
        <v>96</v>
      </c>
      <c r="G17" t="s">
        <v>36</v>
      </c>
      <c r="H17">
        <v>4</v>
      </c>
      <c r="I17" s="3">
        <v>14.99</v>
      </c>
      <c r="J17" s="4">
        <v>0.01</v>
      </c>
      <c r="K17" s="3">
        <v>14.84</v>
      </c>
      <c r="L17" t="s">
        <v>21</v>
      </c>
      <c r="M17" t="s">
        <v>43</v>
      </c>
      <c r="N17" t="s">
        <v>23</v>
      </c>
      <c r="O17">
        <v>5</v>
      </c>
    </row>
    <row r="18" spans="1:15" x14ac:dyDescent="0.4">
      <c r="A18" t="s">
        <v>97</v>
      </c>
      <c r="B18" t="s">
        <v>52</v>
      </c>
      <c r="C18" t="s">
        <v>26</v>
      </c>
      <c r="D18" t="s">
        <v>98</v>
      </c>
      <c r="E18" s="15">
        <v>45631</v>
      </c>
      <c r="F18" t="s">
        <v>63</v>
      </c>
      <c r="G18" t="s">
        <v>64</v>
      </c>
      <c r="H18">
        <v>5</v>
      </c>
      <c r="I18" s="3">
        <v>45.99</v>
      </c>
      <c r="J18" s="4">
        <v>0.14000000000000001</v>
      </c>
      <c r="K18" s="3">
        <v>197.76</v>
      </c>
      <c r="L18" t="s">
        <v>86</v>
      </c>
      <c r="M18" t="s">
        <v>99</v>
      </c>
      <c r="N18" t="s">
        <v>51</v>
      </c>
      <c r="O18">
        <v>5</v>
      </c>
    </row>
    <row r="19" spans="1:15" x14ac:dyDescent="0.4">
      <c r="A19" t="s">
        <v>100</v>
      </c>
      <c r="B19" t="s">
        <v>101</v>
      </c>
      <c r="C19" t="s">
        <v>102</v>
      </c>
      <c r="D19" t="s">
        <v>103</v>
      </c>
      <c r="E19" s="15">
        <v>45632</v>
      </c>
      <c r="F19" t="s">
        <v>35</v>
      </c>
      <c r="G19" t="s">
        <v>36</v>
      </c>
      <c r="H19">
        <v>5</v>
      </c>
      <c r="I19" s="3">
        <v>29.99</v>
      </c>
      <c r="J19" s="4">
        <v>0.03</v>
      </c>
      <c r="K19" s="3">
        <v>145.44999999999999</v>
      </c>
      <c r="L19" t="s">
        <v>29</v>
      </c>
      <c r="M19" t="s">
        <v>59</v>
      </c>
      <c r="N19" t="s">
        <v>46</v>
      </c>
      <c r="O19">
        <v>5</v>
      </c>
    </row>
    <row r="20" spans="1:15" x14ac:dyDescent="0.4">
      <c r="A20" t="s">
        <v>104</v>
      </c>
      <c r="B20" t="s">
        <v>105</v>
      </c>
      <c r="C20" t="s">
        <v>71</v>
      </c>
      <c r="D20" t="s">
        <v>106</v>
      </c>
      <c r="E20" s="15">
        <v>45633</v>
      </c>
      <c r="F20" t="s">
        <v>35</v>
      </c>
      <c r="G20" t="s">
        <v>36</v>
      </c>
      <c r="H20">
        <v>4</v>
      </c>
      <c r="I20" s="3">
        <v>29.99</v>
      </c>
      <c r="J20" s="4">
        <v>0.17</v>
      </c>
      <c r="K20" s="3">
        <v>99.57</v>
      </c>
      <c r="L20" t="s">
        <v>21</v>
      </c>
      <c r="M20" t="s">
        <v>22</v>
      </c>
      <c r="N20" t="s">
        <v>31</v>
      </c>
      <c r="O20">
        <v>12</v>
      </c>
    </row>
    <row r="21" spans="1:15" x14ac:dyDescent="0.4">
      <c r="A21" t="s">
        <v>107</v>
      </c>
      <c r="B21" t="s">
        <v>33</v>
      </c>
      <c r="C21" t="s">
        <v>90</v>
      </c>
      <c r="D21" t="s">
        <v>108</v>
      </c>
      <c r="E21" s="15">
        <v>45634</v>
      </c>
      <c r="F21" t="s">
        <v>58</v>
      </c>
      <c r="G21" t="s">
        <v>36</v>
      </c>
      <c r="H21">
        <v>1</v>
      </c>
      <c r="I21" s="3">
        <v>19.989999999999998</v>
      </c>
      <c r="J21" s="4">
        <v>0.02</v>
      </c>
      <c r="K21" s="3">
        <v>19.59</v>
      </c>
      <c r="L21" t="s">
        <v>86</v>
      </c>
      <c r="M21" t="s">
        <v>30</v>
      </c>
      <c r="N21" t="s">
        <v>23</v>
      </c>
      <c r="O21">
        <v>3</v>
      </c>
    </row>
    <row r="22" spans="1:15" x14ac:dyDescent="0.4">
      <c r="A22" t="s">
        <v>109</v>
      </c>
      <c r="B22" t="s">
        <v>110</v>
      </c>
      <c r="C22" t="s">
        <v>71</v>
      </c>
      <c r="D22" t="s">
        <v>111</v>
      </c>
      <c r="E22" s="15">
        <v>45635</v>
      </c>
      <c r="F22" t="s">
        <v>28</v>
      </c>
      <c r="G22" t="s">
        <v>20</v>
      </c>
      <c r="H22">
        <v>3</v>
      </c>
      <c r="I22" s="3">
        <v>349.99</v>
      </c>
      <c r="J22" s="4">
        <v>0.18</v>
      </c>
      <c r="K22" s="3">
        <v>860.98</v>
      </c>
      <c r="L22" t="s">
        <v>29</v>
      </c>
      <c r="M22" t="s">
        <v>43</v>
      </c>
      <c r="N22" t="s">
        <v>44</v>
      </c>
      <c r="O22">
        <v>14</v>
      </c>
    </row>
    <row r="23" spans="1:15" x14ac:dyDescent="0.4">
      <c r="A23" t="s">
        <v>112</v>
      </c>
      <c r="B23" t="s">
        <v>113</v>
      </c>
      <c r="C23" t="s">
        <v>61</v>
      </c>
      <c r="D23" t="s">
        <v>114</v>
      </c>
      <c r="E23" s="15">
        <v>45636</v>
      </c>
      <c r="F23" t="s">
        <v>96</v>
      </c>
      <c r="G23" t="s">
        <v>36</v>
      </c>
      <c r="H23">
        <v>2</v>
      </c>
      <c r="I23" s="3">
        <v>14.99</v>
      </c>
      <c r="J23" s="4">
        <v>0.19</v>
      </c>
      <c r="K23" s="3">
        <v>24.28</v>
      </c>
      <c r="L23" t="s">
        <v>37</v>
      </c>
      <c r="M23" t="s">
        <v>43</v>
      </c>
      <c r="N23" t="s">
        <v>23</v>
      </c>
      <c r="O23">
        <v>6</v>
      </c>
    </row>
    <row r="24" spans="1:15" x14ac:dyDescent="0.4">
      <c r="A24" t="s">
        <v>115</v>
      </c>
      <c r="B24" t="s">
        <v>116</v>
      </c>
      <c r="C24" t="s">
        <v>117</v>
      </c>
      <c r="D24" t="s">
        <v>118</v>
      </c>
      <c r="E24" s="15">
        <v>45637</v>
      </c>
      <c r="F24" t="s">
        <v>53</v>
      </c>
      <c r="G24" t="s">
        <v>36</v>
      </c>
      <c r="H24">
        <v>3</v>
      </c>
      <c r="I24" s="3">
        <v>79.989999999999995</v>
      </c>
      <c r="J24" s="4">
        <v>0.03</v>
      </c>
      <c r="K24" s="3">
        <v>232.77</v>
      </c>
      <c r="L24" t="s">
        <v>29</v>
      </c>
      <c r="M24" t="s">
        <v>22</v>
      </c>
      <c r="N24" t="s">
        <v>31</v>
      </c>
      <c r="O24">
        <v>5</v>
      </c>
    </row>
    <row r="25" spans="1:15" x14ac:dyDescent="0.4">
      <c r="A25" t="s">
        <v>119</v>
      </c>
      <c r="B25" t="s">
        <v>120</v>
      </c>
      <c r="C25" t="s">
        <v>17</v>
      </c>
      <c r="D25" t="s">
        <v>121</v>
      </c>
      <c r="E25" s="15">
        <v>45638</v>
      </c>
      <c r="F25" t="s">
        <v>53</v>
      </c>
      <c r="G25" t="s">
        <v>36</v>
      </c>
      <c r="H25">
        <v>1</v>
      </c>
      <c r="I25" s="3">
        <v>79.989999999999995</v>
      </c>
      <c r="J25" s="4">
        <v>0.13</v>
      </c>
      <c r="K25" s="3">
        <v>69.59</v>
      </c>
      <c r="L25" t="s">
        <v>21</v>
      </c>
      <c r="M25" t="s">
        <v>59</v>
      </c>
      <c r="N25" t="s">
        <v>46</v>
      </c>
      <c r="O25">
        <v>11</v>
      </c>
    </row>
    <row r="26" spans="1:15" x14ac:dyDescent="0.4">
      <c r="A26" t="s">
        <v>122</v>
      </c>
      <c r="B26" t="s">
        <v>123</v>
      </c>
      <c r="C26" t="s">
        <v>102</v>
      </c>
      <c r="D26" t="s">
        <v>124</v>
      </c>
      <c r="E26" s="15">
        <v>45639</v>
      </c>
      <c r="F26" t="s">
        <v>19</v>
      </c>
      <c r="G26" t="s">
        <v>20</v>
      </c>
      <c r="H26">
        <v>1</v>
      </c>
      <c r="I26" s="3">
        <v>89.99</v>
      </c>
      <c r="J26" s="4">
        <v>0.02</v>
      </c>
      <c r="K26" s="3">
        <v>88.19</v>
      </c>
      <c r="L26" t="s">
        <v>54</v>
      </c>
      <c r="M26" t="s">
        <v>43</v>
      </c>
      <c r="N26" t="s">
        <v>46</v>
      </c>
      <c r="O26">
        <v>6</v>
      </c>
    </row>
    <row r="27" spans="1:15" x14ac:dyDescent="0.4">
      <c r="A27" t="s">
        <v>125</v>
      </c>
      <c r="B27" t="s">
        <v>72</v>
      </c>
      <c r="C27" t="s">
        <v>117</v>
      </c>
      <c r="D27" t="s">
        <v>126</v>
      </c>
      <c r="E27" s="15">
        <v>45640</v>
      </c>
      <c r="F27" t="s">
        <v>127</v>
      </c>
      <c r="G27" t="s">
        <v>20</v>
      </c>
      <c r="H27">
        <v>5</v>
      </c>
      <c r="I27" s="3">
        <v>149.99</v>
      </c>
      <c r="J27" s="4">
        <v>0.2</v>
      </c>
      <c r="K27" s="3">
        <v>599.96</v>
      </c>
      <c r="L27" t="s">
        <v>21</v>
      </c>
      <c r="M27" t="s">
        <v>43</v>
      </c>
      <c r="N27" t="s">
        <v>31</v>
      </c>
      <c r="O27">
        <v>9</v>
      </c>
    </row>
    <row r="28" spans="1:15" x14ac:dyDescent="0.4">
      <c r="A28" t="s">
        <v>128</v>
      </c>
      <c r="B28" t="s">
        <v>129</v>
      </c>
      <c r="C28" t="s">
        <v>130</v>
      </c>
      <c r="D28" t="s">
        <v>131</v>
      </c>
      <c r="E28" s="15">
        <v>45641</v>
      </c>
      <c r="F28" t="s">
        <v>53</v>
      </c>
      <c r="G28" t="s">
        <v>36</v>
      </c>
      <c r="H28">
        <v>3</v>
      </c>
      <c r="I28" s="3">
        <v>79.989999999999995</v>
      </c>
      <c r="J28" s="4">
        <v>0.09</v>
      </c>
      <c r="K28" s="3">
        <v>218.37</v>
      </c>
      <c r="L28" t="s">
        <v>54</v>
      </c>
      <c r="M28" t="s">
        <v>59</v>
      </c>
      <c r="N28" t="s">
        <v>46</v>
      </c>
      <c r="O28">
        <v>11</v>
      </c>
    </row>
    <row r="29" spans="1:15" x14ac:dyDescent="0.4">
      <c r="A29" t="s">
        <v>132</v>
      </c>
      <c r="B29" t="s">
        <v>52</v>
      </c>
      <c r="C29" t="s">
        <v>40</v>
      </c>
      <c r="D29" t="s">
        <v>133</v>
      </c>
      <c r="E29" s="15">
        <v>45642</v>
      </c>
      <c r="F29" t="s">
        <v>19</v>
      </c>
      <c r="G29" t="s">
        <v>20</v>
      </c>
      <c r="H29">
        <v>4</v>
      </c>
      <c r="I29" s="3">
        <v>89.99</v>
      </c>
      <c r="J29" s="4">
        <v>0.14000000000000001</v>
      </c>
      <c r="K29" s="3">
        <v>309.57</v>
      </c>
      <c r="L29" t="s">
        <v>37</v>
      </c>
      <c r="M29" t="s">
        <v>22</v>
      </c>
      <c r="N29" t="s">
        <v>46</v>
      </c>
    </row>
    <row r="30" spans="1:15" x14ac:dyDescent="0.4">
      <c r="A30" t="s">
        <v>134</v>
      </c>
      <c r="B30" t="s">
        <v>135</v>
      </c>
      <c r="C30" t="s">
        <v>61</v>
      </c>
      <c r="D30" t="s">
        <v>136</v>
      </c>
      <c r="E30" s="15">
        <v>45643</v>
      </c>
      <c r="F30" t="s">
        <v>58</v>
      </c>
      <c r="G30" t="s">
        <v>36</v>
      </c>
      <c r="H30">
        <v>0</v>
      </c>
      <c r="I30" s="3">
        <v>19.989999999999998</v>
      </c>
      <c r="J30" s="4">
        <v>0.06</v>
      </c>
      <c r="K30" s="3">
        <v>18.79</v>
      </c>
      <c r="L30" t="s">
        <v>86</v>
      </c>
      <c r="M30" t="s">
        <v>59</v>
      </c>
      <c r="N30" t="s">
        <v>31</v>
      </c>
      <c r="O30">
        <v>8</v>
      </c>
    </row>
    <row r="31" spans="1:15" x14ac:dyDescent="0.4">
      <c r="A31" t="s">
        <v>137</v>
      </c>
      <c r="B31" t="s">
        <v>78</v>
      </c>
      <c r="C31" t="s">
        <v>90</v>
      </c>
      <c r="D31" t="s">
        <v>138</v>
      </c>
      <c r="E31" s="15">
        <v>45644</v>
      </c>
      <c r="F31" t="s">
        <v>58</v>
      </c>
      <c r="G31" t="s">
        <v>36</v>
      </c>
      <c r="H31">
        <v>4</v>
      </c>
      <c r="I31" s="3">
        <v>19.989999999999998</v>
      </c>
      <c r="J31" s="4">
        <v>0.16</v>
      </c>
      <c r="K31" s="3">
        <v>67.17</v>
      </c>
      <c r="L31" t="s">
        <v>86</v>
      </c>
      <c r="M31" t="s">
        <v>30</v>
      </c>
      <c r="N31" t="s">
        <v>44</v>
      </c>
      <c r="O31">
        <v>14</v>
      </c>
    </row>
    <row r="32" spans="1:15" x14ac:dyDescent="0.4">
      <c r="A32" t="s">
        <v>139</v>
      </c>
      <c r="B32" t="s">
        <v>45</v>
      </c>
      <c r="C32" t="s">
        <v>90</v>
      </c>
      <c r="D32" t="s">
        <v>140</v>
      </c>
      <c r="E32" s="15">
        <v>45645</v>
      </c>
      <c r="F32" t="s">
        <v>28</v>
      </c>
      <c r="G32" t="s">
        <v>20</v>
      </c>
      <c r="H32">
        <v>2</v>
      </c>
      <c r="I32" s="3">
        <v>349.99</v>
      </c>
      <c r="J32" s="4">
        <v>0.16</v>
      </c>
      <c r="K32" s="3">
        <v>587.98</v>
      </c>
      <c r="L32" t="s">
        <v>37</v>
      </c>
      <c r="M32" t="s">
        <v>30</v>
      </c>
      <c r="N32" t="s">
        <v>51</v>
      </c>
      <c r="O32">
        <v>7</v>
      </c>
    </row>
    <row r="33" spans="1:15" x14ac:dyDescent="0.4">
      <c r="A33" t="s">
        <v>141</v>
      </c>
      <c r="B33" t="s">
        <v>142</v>
      </c>
      <c r="C33" t="s">
        <v>61</v>
      </c>
      <c r="D33" t="s">
        <v>143</v>
      </c>
      <c r="E33" s="15">
        <v>45646</v>
      </c>
      <c r="F33" t="s">
        <v>53</v>
      </c>
      <c r="G33" t="s">
        <v>36</v>
      </c>
      <c r="H33">
        <v>4</v>
      </c>
      <c r="I33" s="3">
        <v>79.989999999999995</v>
      </c>
      <c r="J33" s="4">
        <v>0.1</v>
      </c>
      <c r="K33" s="3">
        <v>287.95999999999998</v>
      </c>
      <c r="L33" t="s">
        <v>54</v>
      </c>
      <c r="M33" t="s">
        <v>43</v>
      </c>
      <c r="N33" t="s">
        <v>31</v>
      </c>
      <c r="O33">
        <v>3</v>
      </c>
    </row>
    <row r="34" spans="1:15" x14ac:dyDescent="0.4">
      <c r="A34" t="s">
        <v>144</v>
      </c>
      <c r="B34" t="s">
        <v>145</v>
      </c>
      <c r="C34" t="s">
        <v>117</v>
      </c>
      <c r="D34" t="s">
        <v>146</v>
      </c>
      <c r="E34" s="15">
        <v>45647</v>
      </c>
      <c r="F34" t="s">
        <v>147</v>
      </c>
      <c r="G34" t="s">
        <v>64</v>
      </c>
      <c r="H34">
        <v>-1</v>
      </c>
      <c r="I34" s="3">
        <v>45.99</v>
      </c>
      <c r="J34" s="4">
        <v>0.11</v>
      </c>
      <c r="K34" s="3">
        <v>40.93</v>
      </c>
      <c r="L34" t="s">
        <v>86</v>
      </c>
      <c r="M34" t="s">
        <v>30</v>
      </c>
      <c r="N34" t="s">
        <v>46</v>
      </c>
      <c r="O34">
        <v>13</v>
      </c>
    </row>
    <row r="35" spans="1:15" x14ac:dyDescent="0.4">
      <c r="A35" t="s">
        <v>148</v>
      </c>
      <c r="B35" t="s">
        <v>149</v>
      </c>
      <c r="C35" t="s">
        <v>40</v>
      </c>
      <c r="D35" t="s">
        <v>150</v>
      </c>
      <c r="E35" s="15">
        <v>45648</v>
      </c>
      <c r="F35" t="s">
        <v>96</v>
      </c>
      <c r="G35" t="s">
        <v>36</v>
      </c>
      <c r="H35">
        <v>5</v>
      </c>
      <c r="I35" s="3">
        <v>14.99</v>
      </c>
      <c r="J35" s="4">
        <v>0.09</v>
      </c>
      <c r="K35" s="3">
        <v>68.2</v>
      </c>
      <c r="L35" t="s">
        <v>37</v>
      </c>
      <c r="M35" t="s">
        <v>59</v>
      </c>
      <c r="N35" t="s">
        <v>23</v>
      </c>
      <c r="O35">
        <v>5</v>
      </c>
    </row>
    <row r="36" spans="1:15" x14ac:dyDescent="0.4">
      <c r="A36" t="s">
        <v>151</v>
      </c>
      <c r="B36" t="s">
        <v>123</v>
      </c>
      <c r="C36" t="s">
        <v>117</v>
      </c>
      <c r="D36" t="s">
        <v>152</v>
      </c>
      <c r="E36" s="15">
        <v>45649</v>
      </c>
      <c r="F36" t="s">
        <v>63</v>
      </c>
      <c r="G36" t="s">
        <v>64</v>
      </c>
      <c r="H36">
        <v>2</v>
      </c>
      <c r="I36" s="3">
        <v>45.99</v>
      </c>
      <c r="J36" s="4">
        <v>0.05</v>
      </c>
      <c r="K36" s="3">
        <v>87.38</v>
      </c>
      <c r="L36" t="s">
        <v>21</v>
      </c>
      <c r="M36" t="s">
        <v>59</v>
      </c>
      <c r="N36" t="s">
        <v>44</v>
      </c>
      <c r="O36">
        <v>2</v>
      </c>
    </row>
    <row r="37" spans="1:15" x14ac:dyDescent="0.4">
      <c r="A37" t="s">
        <v>153</v>
      </c>
      <c r="B37" t="s">
        <v>81</v>
      </c>
      <c r="D37" t="s">
        <v>154</v>
      </c>
      <c r="E37" s="15">
        <v>45650</v>
      </c>
      <c r="F37" t="s">
        <v>50</v>
      </c>
      <c r="G37" t="s">
        <v>36</v>
      </c>
      <c r="H37">
        <v>2</v>
      </c>
      <c r="I37" s="3">
        <v>39.99</v>
      </c>
      <c r="J37" s="4">
        <v>0.08</v>
      </c>
      <c r="K37" s="3">
        <v>73.58</v>
      </c>
      <c r="L37" t="s">
        <v>155</v>
      </c>
      <c r="M37" t="s">
        <v>69</v>
      </c>
      <c r="N37" t="s">
        <v>44</v>
      </c>
      <c r="O37">
        <v>8</v>
      </c>
    </row>
    <row r="38" spans="1:15" x14ac:dyDescent="0.4">
      <c r="A38" t="s">
        <v>156</v>
      </c>
      <c r="B38" t="s">
        <v>157</v>
      </c>
      <c r="C38" t="s">
        <v>17</v>
      </c>
      <c r="D38" t="s">
        <v>158</v>
      </c>
      <c r="E38" s="15">
        <v>45651</v>
      </c>
      <c r="F38" t="s">
        <v>42</v>
      </c>
      <c r="G38" t="s">
        <v>20</v>
      </c>
      <c r="H38">
        <v>2</v>
      </c>
      <c r="I38" s="3">
        <v>999.99</v>
      </c>
      <c r="J38" s="4">
        <v>0.17</v>
      </c>
      <c r="K38" s="3">
        <v>1659.98</v>
      </c>
      <c r="L38" t="s">
        <v>54</v>
      </c>
      <c r="M38" t="s">
        <v>30</v>
      </c>
      <c r="N38" t="s">
        <v>31</v>
      </c>
      <c r="O38">
        <v>1</v>
      </c>
    </row>
    <row r="39" spans="1:15" x14ac:dyDescent="0.4">
      <c r="A39" t="s">
        <v>159</v>
      </c>
      <c r="B39" t="s">
        <v>45</v>
      </c>
      <c r="C39" t="s">
        <v>17</v>
      </c>
      <c r="D39" t="s">
        <v>160</v>
      </c>
      <c r="E39" s="15">
        <v>45652</v>
      </c>
      <c r="F39" t="s">
        <v>28</v>
      </c>
      <c r="G39" t="s">
        <v>20</v>
      </c>
      <c r="H39">
        <v>4</v>
      </c>
      <c r="I39" s="3">
        <v>349.99</v>
      </c>
      <c r="J39" s="4">
        <v>0.17</v>
      </c>
      <c r="K39" s="3">
        <v>1161.97</v>
      </c>
      <c r="L39" t="s">
        <v>86</v>
      </c>
      <c r="M39" t="s">
        <v>22</v>
      </c>
      <c r="N39" t="s">
        <v>31</v>
      </c>
      <c r="O39">
        <v>5</v>
      </c>
    </row>
    <row r="40" spans="1:15" x14ac:dyDescent="0.4">
      <c r="A40" t="s">
        <v>161</v>
      </c>
      <c r="B40" t="s">
        <v>162</v>
      </c>
      <c r="C40" t="s">
        <v>17</v>
      </c>
      <c r="D40" t="s">
        <v>163</v>
      </c>
      <c r="E40" s="15">
        <v>45653</v>
      </c>
      <c r="F40" t="s">
        <v>63</v>
      </c>
      <c r="G40" t="s">
        <v>64</v>
      </c>
      <c r="H40">
        <v>1</v>
      </c>
      <c r="I40" s="3" t="s">
        <v>164</v>
      </c>
      <c r="J40" s="4">
        <v>0.08</v>
      </c>
      <c r="K40" s="3" t="s">
        <v>165</v>
      </c>
      <c r="L40" t="s">
        <v>29</v>
      </c>
      <c r="M40" t="s">
        <v>30</v>
      </c>
      <c r="N40" t="s">
        <v>46</v>
      </c>
      <c r="O40">
        <v>7</v>
      </c>
    </row>
    <row r="41" spans="1:15" x14ac:dyDescent="0.4">
      <c r="A41" t="s">
        <v>166</v>
      </c>
      <c r="B41" t="s">
        <v>94</v>
      </c>
      <c r="C41" t="s">
        <v>17</v>
      </c>
      <c r="D41" t="s">
        <v>167</v>
      </c>
      <c r="E41" s="15">
        <v>45654</v>
      </c>
      <c r="F41" t="s">
        <v>96</v>
      </c>
      <c r="G41" t="s">
        <v>36</v>
      </c>
      <c r="H41">
        <v>1</v>
      </c>
      <c r="I41" s="3">
        <v>14.99</v>
      </c>
      <c r="J41" s="4">
        <v>0.02</v>
      </c>
      <c r="K41" s="3">
        <v>14.69</v>
      </c>
      <c r="L41" t="s">
        <v>54</v>
      </c>
      <c r="M41" t="s">
        <v>59</v>
      </c>
      <c r="N41" t="s">
        <v>31</v>
      </c>
      <c r="O41">
        <v>4</v>
      </c>
    </row>
    <row r="42" spans="1:15" x14ac:dyDescent="0.4">
      <c r="A42" t="s">
        <v>168</v>
      </c>
      <c r="B42" t="s">
        <v>145</v>
      </c>
      <c r="C42" t="s">
        <v>17</v>
      </c>
      <c r="D42" t="s">
        <v>169</v>
      </c>
      <c r="E42" s="15">
        <v>45655</v>
      </c>
      <c r="F42" t="s">
        <v>19</v>
      </c>
      <c r="G42" t="s">
        <v>92</v>
      </c>
      <c r="H42">
        <v>3</v>
      </c>
      <c r="I42" s="3">
        <v>89.99</v>
      </c>
      <c r="J42" s="4">
        <v>0.15</v>
      </c>
      <c r="K42" s="3">
        <v>229.47</v>
      </c>
      <c r="L42" t="s">
        <v>21</v>
      </c>
      <c r="M42" t="s">
        <v>43</v>
      </c>
      <c r="N42" t="s">
        <v>31</v>
      </c>
      <c r="O42">
        <v>12</v>
      </c>
    </row>
    <row r="43" spans="1:15" x14ac:dyDescent="0.4">
      <c r="A43" t="s">
        <v>170</v>
      </c>
      <c r="B43" t="s">
        <v>157</v>
      </c>
      <c r="C43" t="s">
        <v>117</v>
      </c>
      <c r="D43" t="s">
        <v>171</v>
      </c>
      <c r="E43" s="15">
        <v>45656</v>
      </c>
      <c r="F43" t="s">
        <v>42</v>
      </c>
      <c r="G43" t="s">
        <v>20</v>
      </c>
      <c r="H43">
        <v>3</v>
      </c>
      <c r="I43" s="3">
        <v>999.99</v>
      </c>
      <c r="J43" s="4">
        <v>0.04</v>
      </c>
      <c r="K43" s="3">
        <v>2879.97</v>
      </c>
      <c r="L43" t="s">
        <v>54</v>
      </c>
      <c r="M43" t="s">
        <v>22</v>
      </c>
      <c r="N43" t="s">
        <v>23</v>
      </c>
      <c r="O43">
        <v>10</v>
      </c>
    </row>
    <row r="44" spans="1:15" x14ac:dyDescent="0.4">
      <c r="A44" t="s">
        <v>172</v>
      </c>
      <c r="B44" t="s">
        <v>65</v>
      </c>
      <c r="C44" t="s">
        <v>117</v>
      </c>
      <c r="D44" t="s">
        <v>173</v>
      </c>
      <c r="E44" s="15">
        <v>45657</v>
      </c>
      <c r="F44" t="s">
        <v>53</v>
      </c>
      <c r="G44" t="s">
        <v>36</v>
      </c>
      <c r="H44">
        <v>2</v>
      </c>
      <c r="I44" s="3">
        <v>79.989999999999995</v>
      </c>
      <c r="J44" s="4">
        <v>0.09</v>
      </c>
      <c r="K44" s="3">
        <v>145.58000000000001</v>
      </c>
      <c r="L44" t="s">
        <v>21</v>
      </c>
      <c r="M44" t="s">
        <v>59</v>
      </c>
      <c r="N44" t="s">
        <v>23</v>
      </c>
      <c r="O44">
        <v>10</v>
      </c>
    </row>
    <row r="45" spans="1:15" x14ac:dyDescent="0.4">
      <c r="A45" t="s">
        <v>174</v>
      </c>
      <c r="B45" t="s">
        <v>75</v>
      </c>
      <c r="C45" t="s">
        <v>71</v>
      </c>
      <c r="D45" t="s">
        <v>175</v>
      </c>
      <c r="E45" s="15">
        <v>45658</v>
      </c>
      <c r="F45" t="s">
        <v>50</v>
      </c>
      <c r="G45" t="s">
        <v>36</v>
      </c>
      <c r="H45">
        <v>3</v>
      </c>
      <c r="I45" s="3">
        <v>39.99</v>
      </c>
      <c r="J45" s="4">
        <v>0.02</v>
      </c>
      <c r="K45" s="3">
        <v>117.57</v>
      </c>
      <c r="L45" t="s">
        <v>37</v>
      </c>
      <c r="M45" t="s">
        <v>69</v>
      </c>
      <c r="N45" t="s">
        <v>23</v>
      </c>
      <c r="O45">
        <v>10</v>
      </c>
    </row>
    <row r="46" spans="1:15" x14ac:dyDescent="0.4">
      <c r="A46" t="s">
        <v>176</v>
      </c>
      <c r="B46" t="s">
        <v>177</v>
      </c>
      <c r="C46" t="s">
        <v>26</v>
      </c>
      <c r="D46" t="s">
        <v>178</v>
      </c>
      <c r="E46" s="15">
        <v>45659</v>
      </c>
      <c r="F46" t="s">
        <v>35</v>
      </c>
      <c r="G46" t="s">
        <v>36</v>
      </c>
      <c r="H46">
        <v>3</v>
      </c>
      <c r="I46" s="3">
        <v>29.99</v>
      </c>
      <c r="J46" s="4">
        <v>0.17</v>
      </c>
      <c r="K46" s="3">
        <v>74.680000000000007</v>
      </c>
      <c r="L46" t="s">
        <v>54</v>
      </c>
      <c r="M46" t="s">
        <v>59</v>
      </c>
      <c r="N46" t="s">
        <v>46</v>
      </c>
      <c r="O46">
        <v>11</v>
      </c>
    </row>
    <row r="47" spans="1:15" x14ac:dyDescent="0.4">
      <c r="A47" t="s">
        <v>179</v>
      </c>
      <c r="B47" t="s">
        <v>180</v>
      </c>
      <c r="C47" t="s">
        <v>40</v>
      </c>
      <c r="D47" t="s">
        <v>181</v>
      </c>
      <c r="E47" s="15">
        <v>45660</v>
      </c>
      <c r="F47" t="s">
        <v>50</v>
      </c>
      <c r="G47" t="s">
        <v>36</v>
      </c>
      <c r="H47">
        <v>4</v>
      </c>
      <c r="I47" s="3">
        <v>39.99</v>
      </c>
      <c r="J47" s="4">
        <v>0.04</v>
      </c>
      <c r="K47" s="3">
        <v>153.56</v>
      </c>
      <c r="L47" t="s">
        <v>86</v>
      </c>
      <c r="M47" t="s">
        <v>69</v>
      </c>
      <c r="N47" t="s">
        <v>31</v>
      </c>
      <c r="O47">
        <v>14</v>
      </c>
    </row>
    <row r="48" spans="1:15" x14ac:dyDescent="0.4">
      <c r="A48" t="s">
        <v>182</v>
      </c>
      <c r="B48" t="s">
        <v>180</v>
      </c>
      <c r="C48" t="s">
        <v>117</v>
      </c>
      <c r="D48" t="s">
        <v>183</v>
      </c>
      <c r="E48" s="15">
        <v>45661</v>
      </c>
      <c r="F48" t="s">
        <v>28</v>
      </c>
      <c r="G48" t="s">
        <v>20</v>
      </c>
      <c r="H48">
        <v>3</v>
      </c>
      <c r="I48" s="3">
        <v>349.99</v>
      </c>
      <c r="J48" s="4">
        <v>0.17</v>
      </c>
      <c r="K48" s="3">
        <v>871.48</v>
      </c>
      <c r="L48" t="s">
        <v>37</v>
      </c>
      <c r="M48" t="s">
        <v>30</v>
      </c>
      <c r="N48" t="s">
        <v>46</v>
      </c>
      <c r="O48">
        <v>7</v>
      </c>
    </row>
    <row r="49" spans="1:15" x14ac:dyDescent="0.4">
      <c r="A49" t="s">
        <v>184</v>
      </c>
      <c r="B49" t="s">
        <v>105</v>
      </c>
      <c r="C49" t="s">
        <v>90</v>
      </c>
      <c r="D49" t="s">
        <v>185</v>
      </c>
      <c r="E49" s="15">
        <v>45662</v>
      </c>
      <c r="F49" t="s">
        <v>186</v>
      </c>
      <c r="G49" t="s">
        <v>20</v>
      </c>
      <c r="H49">
        <v>4</v>
      </c>
      <c r="I49" s="3">
        <v>999.99</v>
      </c>
      <c r="J49" s="4">
        <v>0.17</v>
      </c>
      <c r="K49" s="3">
        <v>3319.97</v>
      </c>
      <c r="L49" t="s">
        <v>21</v>
      </c>
      <c r="M49" t="s">
        <v>59</v>
      </c>
      <c r="N49" t="s">
        <v>44</v>
      </c>
      <c r="O49">
        <v>12</v>
      </c>
    </row>
    <row r="50" spans="1:15" x14ac:dyDescent="0.4">
      <c r="A50" t="s">
        <v>187</v>
      </c>
      <c r="B50" t="s">
        <v>188</v>
      </c>
      <c r="C50" t="s">
        <v>61</v>
      </c>
      <c r="D50" t="s">
        <v>189</v>
      </c>
      <c r="E50" s="15">
        <v>45663</v>
      </c>
      <c r="F50" t="s">
        <v>58</v>
      </c>
      <c r="G50" t="s">
        <v>36</v>
      </c>
      <c r="H50">
        <v>1</v>
      </c>
      <c r="I50" s="3">
        <v>19.989999999999998</v>
      </c>
      <c r="J50" s="4">
        <v>0.1</v>
      </c>
      <c r="K50" s="3">
        <v>17.989999999999998</v>
      </c>
      <c r="L50" t="s">
        <v>37</v>
      </c>
      <c r="M50" t="s">
        <v>30</v>
      </c>
      <c r="N50" t="s">
        <v>23</v>
      </c>
      <c r="O50">
        <v>8</v>
      </c>
    </row>
    <row r="51" spans="1:15" x14ac:dyDescent="0.4">
      <c r="A51" t="s">
        <v>190</v>
      </c>
      <c r="B51" t="s">
        <v>84</v>
      </c>
      <c r="C51" t="s">
        <v>61</v>
      </c>
      <c r="D51" t="s">
        <v>191</v>
      </c>
      <c r="E51" s="15">
        <v>45664</v>
      </c>
      <c r="F51" t="s">
        <v>63</v>
      </c>
      <c r="G51" t="s">
        <v>64</v>
      </c>
      <c r="H51">
        <v>1</v>
      </c>
      <c r="I51" s="3">
        <v>45.99</v>
      </c>
      <c r="J51" s="4">
        <v>0.02</v>
      </c>
      <c r="K51" s="3">
        <v>45.07</v>
      </c>
      <c r="L51" t="s">
        <v>21</v>
      </c>
      <c r="M51" t="s">
        <v>30</v>
      </c>
      <c r="N51" t="s">
        <v>44</v>
      </c>
      <c r="O51">
        <v>9</v>
      </c>
    </row>
    <row r="52" spans="1:15" x14ac:dyDescent="0.4">
      <c r="A52" t="s">
        <v>192</v>
      </c>
      <c r="B52" t="s">
        <v>193</v>
      </c>
      <c r="C52" t="s">
        <v>40</v>
      </c>
      <c r="D52" t="s">
        <v>194</v>
      </c>
      <c r="E52" s="15">
        <v>45665</v>
      </c>
      <c r="F52" t="s">
        <v>19</v>
      </c>
      <c r="G52" t="s">
        <v>20</v>
      </c>
      <c r="H52">
        <v>4</v>
      </c>
      <c r="I52" s="3">
        <v>89.99</v>
      </c>
      <c r="J52" s="4">
        <v>0.2</v>
      </c>
      <c r="K52" s="3">
        <v>287.97000000000003</v>
      </c>
      <c r="L52" t="s">
        <v>37</v>
      </c>
      <c r="M52" t="s">
        <v>59</v>
      </c>
      <c r="N52" t="s">
        <v>44</v>
      </c>
      <c r="O52">
        <v>4</v>
      </c>
    </row>
    <row r="53" spans="1:15" x14ac:dyDescent="0.4">
      <c r="A53" t="s">
        <v>195</v>
      </c>
      <c r="B53" t="s">
        <v>196</v>
      </c>
      <c r="C53" t="s">
        <v>40</v>
      </c>
      <c r="D53" t="s">
        <v>197</v>
      </c>
      <c r="E53" s="15">
        <v>45666</v>
      </c>
      <c r="F53" t="s">
        <v>53</v>
      </c>
      <c r="G53" t="s">
        <v>36</v>
      </c>
      <c r="H53">
        <v>3</v>
      </c>
      <c r="I53" s="3">
        <v>79.989999999999995</v>
      </c>
      <c r="J53" s="4">
        <v>0.02</v>
      </c>
      <c r="K53" s="3">
        <v>235.17</v>
      </c>
      <c r="L53" t="s">
        <v>29</v>
      </c>
      <c r="M53" t="s">
        <v>22</v>
      </c>
      <c r="N53" t="s">
        <v>31</v>
      </c>
    </row>
    <row r="54" spans="1:15" x14ac:dyDescent="0.4">
      <c r="A54" t="s">
        <v>198</v>
      </c>
      <c r="B54" t="s">
        <v>25</v>
      </c>
      <c r="C54" t="s">
        <v>71</v>
      </c>
      <c r="D54" t="s">
        <v>199</v>
      </c>
      <c r="E54" s="15">
        <v>45667</v>
      </c>
      <c r="F54" t="s">
        <v>50</v>
      </c>
      <c r="G54" t="s">
        <v>36</v>
      </c>
      <c r="H54">
        <v>3</v>
      </c>
      <c r="I54" s="3">
        <v>39.99</v>
      </c>
      <c r="J54" s="4">
        <v>0.01</v>
      </c>
      <c r="K54" s="3">
        <v>118.77</v>
      </c>
      <c r="L54" t="s">
        <v>29</v>
      </c>
      <c r="M54" t="s">
        <v>69</v>
      </c>
      <c r="N54" t="s">
        <v>51</v>
      </c>
      <c r="O54">
        <v>10</v>
      </c>
    </row>
    <row r="55" spans="1:15" x14ac:dyDescent="0.4">
      <c r="A55" t="s">
        <v>201</v>
      </c>
      <c r="B55" t="s">
        <v>75</v>
      </c>
      <c r="C55" t="s">
        <v>26</v>
      </c>
      <c r="D55" t="s">
        <v>202</v>
      </c>
      <c r="E55" s="15">
        <v>45668</v>
      </c>
      <c r="F55" t="s">
        <v>42</v>
      </c>
      <c r="G55" t="s">
        <v>20</v>
      </c>
      <c r="H55">
        <v>2</v>
      </c>
      <c r="I55" s="3">
        <v>999.99</v>
      </c>
      <c r="J55" s="4">
        <v>0.03</v>
      </c>
      <c r="K55" s="3">
        <v>1939.98</v>
      </c>
      <c r="L55" t="s">
        <v>54</v>
      </c>
      <c r="M55" t="s">
        <v>30</v>
      </c>
      <c r="N55" t="s">
        <v>31</v>
      </c>
      <c r="O55">
        <v>10</v>
      </c>
    </row>
    <row r="56" spans="1:15" x14ac:dyDescent="0.4">
      <c r="A56" t="s">
        <v>203</v>
      </c>
      <c r="B56" t="s">
        <v>110</v>
      </c>
      <c r="C56" t="s">
        <v>73</v>
      </c>
      <c r="D56" t="s">
        <v>204</v>
      </c>
      <c r="E56" s="15">
        <v>45669</v>
      </c>
      <c r="F56" t="s">
        <v>53</v>
      </c>
      <c r="G56" t="s">
        <v>36</v>
      </c>
      <c r="H56">
        <v>5</v>
      </c>
      <c r="I56" s="3">
        <v>79.989999999999995</v>
      </c>
      <c r="J56" s="4">
        <v>0.08</v>
      </c>
      <c r="K56" s="3">
        <v>367.95</v>
      </c>
      <c r="L56" t="s">
        <v>21</v>
      </c>
      <c r="M56" t="s">
        <v>30</v>
      </c>
      <c r="N56" t="s">
        <v>46</v>
      </c>
      <c r="O56">
        <v>10</v>
      </c>
    </row>
    <row r="57" spans="1:15" x14ac:dyDescent="0.4">
      <c r="A57" t="s">
        <v>205</v>
      </c>
      <c r="B57" t="s">
        <v>206</v>
      </c>
      <c r="C57" t="s">
        <v>117</v>
      </c>
      <c r="D57" t="s">
        <v>207</v>
      </c>
      <c r="E57" s="15">
        <v>45670</v>
      </c>
      <c r="F57" t="s">
        <v>53</v>
      </c>
      <c r="G57" t="s">
        <v>36</v>
      </c>
      <c r="H57">
        <v>2</v>
      </c>
      <c r="I57" s="3">
        <v>79.989999999999995</v>
      </c>
      <c r="J57" s="4">
        <v>0.05</v>
      </c>
      <c r="K57" s="3">
        <v>151.97999999999999</v>
      </c>
      <c r="L57" t="s">
        <v>86</v>
      </c>
      <c r="M57" t="s">
        <v>43</v>
      </c>
      <c r="N57" t="s">
        <v>23</v>
      </c>
      <c r="O57">
        <v>7</v>
      </c>
    </row>
    <row r="58" spans="1:15" x14ac:dyDescent="0.4">
      <c r="A58" t="s">
        <v>208</v>
      </c>
      <c r="B58" t="s">
        <v>16</v>
      </c>
      <c r="C58" t="s">
        <v>61</v>
      </c>
      <c r="D58" t="s">
        <v>209</v>
      </c>
      <c r="E58" s="15">
        <v>45671</v>
      </c>
      <c r="F58" t="s">
        <v>96</v>
      </c>
      <c r="G58" t="s">
        <v>36</v>
      </c>
      <c r="H58">
        <v>4</v>
      </c>
      <c r="I58" s="3">
        <v>14.99</v>
      </c>
      <c r="J58" s="4">
        <v>0.06</v>
      </c>
      <c r="K58" s="3">
        <v>56.36</v>
      </c>
      <c r="L58" t="s">
        <v>37</v>
      </c>
      <c r="M58" t="s">
        <v>43</v>
      </c>
      <c r="N58" t="s">
        <v>23</v>
      </c>
      <c r="O58">
        <v>13</v>
      </c>
    </row>
    <row r="59" spans="1:15" x14ac:dyDescent="0.4">
      <c r="A59" t="s">
        <v>210</v>
      </c>
      <c r="B59" t="s">
        <v>211</v>
      </c>
      <c r="C59" t="s">
        <v>73</v>
      </c>
      <c r="D59" t="s">
        <v>212</v>
      </c>
      <c r="E59" s="15">
        <v>45672</v>
      </c>
      <c r="F59" t="s">
        <v>96</v>
      </c>
      <c r="G59" t="s">
        <v>36</v>
      </c>
      <c r="H59">
        <v>5</v>
      </c>
      <c r="I59" s="3">
        <v>14.99</v>
      </c>
      <c r="J59" s="4">
        <v>0.18</v>
      </c>
      <c r="K59" s="3">
        <v>61.46</v>
      </c>
      <c r="L59" t="s">
        <v>21</v>
      </c>
      <c r="M59" t="s">
        <v>69</v>
      </c>
      <c r="N59" t="s">
        <v>44</v>
      </c>
      <c r="O59">
        <v>9</v>
      </c>
    </row>
    <row r="60" spans="1:15" x14ac:dyDescent="0.4">
      <c r="A60" t="s">
        <v>213</v>
      </c>
      <c r="B60" t="s">
        <v>214</v>
      </c>
      <c r="C60" t="s">
        <v>17</v>
      </c>
      <c r="D60" t="s">
        <v>215</v>
      </c>
      <c r="E60" s="15">
        <v>45673</v>
      </c>
      <c r="F60" t="s">
        <v>63</v>
      </c>
      <c r="G60" t="s">
        <v>64</v>
      </c>
      <c r="H60">
        <v>1</v>
      </c>
      <c r="I60" s="3">
        <v>45.99</v>
      </c>
      <c r="J60" s="4">
        <v>0.12</v>
      </c>
      <c r="K60" s="3">
        <v>40.47</v>
      </c>
      <c r="L60" t="s">
        <v>21</v>
      </c>
      <c r="M60" t="s">
        <v>216</v>
      </c>
      <c r="N60" t="s">
        <v>51</v>
      </c>
      <c r="O60">
        <v>11</v>
      </c>
    </row>
    <row r="61" spans="1:15" x14ac:dyDescent="0.4">
      <c r="A61" t="s">
        <v>217</v>
      </c>
      <c r="B61" t="s">
        <v>113</v>
      </c>
      <c r="C61" t="s">
        <v>102</v>
      </c>
      <c r="D61" t="s">
        <v>218</v>
      </c>
      <c r="E61" s="15">
        <v>45674</v>
      </c>
      <c r="F61" t="s">
        <v>96</v>
      </c>
      <c r="G61" t="s">
        <v>36</v>
      </c>
      <c r="H61">
        <v>1</v>
      </c>
      <c r="I61" s="3">
        <v>14.99</v>
      </c>
      <c r="J61" s="4">
        <v>0.2</v>
      </c>
      <c r="K61" s="3">
        <v>11.99</v>
      </c>
      <c r="L61" t="s">
        <v>37</v>
      </c>
      <c r="M61" t="s">
        <v>30</v>
      </c>
      <c r="N61" t="s">
        <v>31</v>
      </c>
    </row>
    <row r="62" spans="1:15" x14ac:dyDescent="0.4">
      <c r="A62" t="s">
        <v>219</v>
      </c>
      <c r="B62" t="s">
        <v>116</v>
      </c>
      <c r="C62" t="s">
        <v>73</v>
      </c>
      <c r="D62" t="s">
        <v>220</v>
      </c>
      <c r="E62" s="15">
        <v>45675</v>
      </c>
      <c r="F62" t="s">
        <v>127</v>
      </c>
      <c r="G62" t="s">
        <v>20</v>
      </c>
      <c r="H62">
        <v>4</v>
      </c>
      <c r="I62" s="3">
        <v>149.99</v>
      </c>
      <c r="J62" s="4">
        <v>0.19</v>
      </c>
      <c r="K62" s="3">
        <v>485.97</v>
      </c>
      <c r="L62" t="s">
        <v>21</v>
      </c>
      <c r="M62" t="s">
        <v>43</v>
      </c>
      <c r="N62" t="s">
        <v>23</v>
      </c>
      <c r="O62">
        <v>7</v>
      </c>
    </row>
    <row r="63" spans="1:15" x14ac:dyDescent="0.4">
      <c r="A63" t="s">
        <v>221</v>
      </c>
      <c r="B63" t="s">
        <v>222</v>
      </c>
      <c r="C63" t="s">
        <v>40</v>
      </c>
      <c r="D63" t="s">
        <v>223</v>
      </c>
      <c r="E63" s="15">
        <v>45676</v>
      </c>
      <c r="F63" t="s">
        <v>28</v>
      </c>
      <c r="G63" t="s">
        <v>20</v>
      </c>
      <c r="H63">
        <v>4</v>
      </c>
      <c r="I63" s="3">
        <v>349.99</v>
      </c>
      <c r="J63" s="4">
        <v>0.16</v>
      </c>
      <c r="K63" s="3">
        <v>1175.97</v>
      </c>
      <c r="L63" t="s">
        <v>21</v>
      </c>
      <c r="M63" t="s">
        <v>59</v>
      </c>
      <c r="N63" t="s">
        <v>44</v>
      </c>
      <c r="O63">
        <v>13</v>
      </c>
    </row>
    <row r="64" spans="1:15" x14ac:dyDescent="0.4">
      <c r="A64" t="s">
        <v>224</v>
      </c>
      <c r="B64" t="s">
        <v>84</v>
      </c>
      <c r="C64" t="s">
        <v>40</v>
      </c>
      <c r="D64" t="s">
        <v>225</v>
      </c>
      <c r="E64" s="15">
        <v>45677</v>
      </c>
      <c r="F64" t="s">
        <v>58</v>
      </c>
      <c r="G64" t="s">
        <v>36</v>
      </c>
      <c r="H64">
        <v>1</v>
      </c>
      <c r="I64" s="3">
        <v>19.989999999999998</v>
      </c>
      <c r="J64" s="4"/>
      <c r="K64" s="3">
        <v>17.39</v>
      </c>
      <c r="L64" t="s">
        <v>29</v>
      </c>
      <c r="M64" t="s">
        <v>30</v>
      </c>
      <c r="N64" t="s">
        <v>44</v>
      </c>
      <c r="O64">
        <v>13</v>
      </c>
    </row>
    <row r="65" spans="1:15" x14ac:dyDescent="0.4">
      <c r="A65" t="s">
        <v>226</v>
      </c>
      <c r="B65" t="s">
        <v>227</v>
      </c>
      <c r="C65" t="s">
        <v>40</v>
      </c>
      <c r="D65" t="s">
        <v>228</v>
      </c>
      <c r="E65" s="15">
        <v>45678</v>
      </c>
      <c r="F65" t="s">
        <v>63</v>
      </c>
      <c r="G65" t="s">
        <v>64</v>
      </c>
      <c r="H65">
        <v>1</v>
      </c>
      <c r="I65" s="3">
        <v>45.99</v>
      </c>
      <c r="J65" s="4">
        <v>0.04</v>
      </c>
      <c r="K65" s="3">
        <v>44.15</v>
      </c>
      <c r="L65" t="s">
        <v>37</v>
      </c>
      <c r="M65" t="s">
        <v>43</v>
      </c>
      <c r="N65" t="s">
        <v>51</v>
      </c>
      <c r="O65">
        <v>10</v>
      </c>
    </row>
    <row r="66" spans="1:15" x14ac:dyDescent="0.4">
      <c r="A66" t="s">
        <v>229</v>
      </c>
      <c r="B66" t="s">
        <v>52</v>
      </c>
      <c r="C66" t="s">
        <v>40</v>
      </c>
      <c r="D66" t="s">
        <v>230</v>
      </c>
      <c r="E66" s="15">
        <v>45679</v>
      </c>
      <c r="F66" t="s">
        <v>50</v>
      </c>
      <c r="G66" t="s">
        <v>36</v>
      </c>
      <c r="H66">
        <v>3</v>
      </c>
      <c r="I66" s="3">
        <v>39.99</v>
      </c>
      <c r="J66" s="4">
        <v>0.11</v>
      </c>
      <c r="K66" s="3">
        <v>106.77</v>
      </c>
      <c r="L66" t="s">
        <v>54</v>
      </c>
      <c r="M66" t="s">
        <v>69</v>
      </c>
      <c r="N66" t="s">
        <v>51</v>
      </c>
      <c r="O66">
        <v>14</v>
      </c>
    </row>
    <row r="67" spans="1:15" x14ac:dyDescent="0.4">
      <c r="A67" t="s">
        <v>231</v>
      </c>
      <c r="B67" t="s">
        <v>232</v>
      </c>
      <c r="C67" t="s">
        <v>102</v>
      </c>
      <c r="D67" t="s">
        <v>233</v>
      </c>
      <c r="E67" s="15">
        <v>45680</v>
      </c>
      <c r="F67" t="s">
        <v>63</v>
      </c>
      <c r="G67" t="s">
        <v>64</v>
      </c>
      <c r="H67">
        <v>3</v>
      </c>
      <c r="I67" s="3">
        <v>45.99</v>
      </c>
      <c r="J67" s="4">
        <v>0.1</v>
      </c>
      <c r="K67" s="3">
        <v>124.17</v>
      </c>
      <c r="L67" t="s">
        <v>37</v>
      </c>
      <c r="M67" t="s">
        <v>22</v>
      </c>
      <c r="N67" t="s">
        <v>31</v>
      </c>
      <c r="O67">
        <v>3</v>
      </c>
    </row>
    <row r="68" spans="1:15" x14ac:dyDescent="0.4">
      <c r="A68" t="s">
        <v>234</v>
      </c>
      <c r="B68" t="s">
        <v>206</v>
      </c>
      <c r="C68" t="s">
        <v>90</v>
      </c>
      <c r="D68" t="s">
        <v>235</v>
      </c>
      <c r="E68" s="15">
        <v>45681</v>
      </c>
      <c r="F68" t="s">
        <v>53</v>
      </c>
      <c r="G68" t="s">
        <v>92</v>
      </c>
      <c r="H68">
        <v>5</v>
      </c>
      <c r="I68" s="3">
        <v>79.989999999999995</v>
      </c>
      <c r="J68" s="4">
        <v>0.1</v>
      </c>
      <c r="K68" s="3">
        <v>359.95</v>
      </c>
      <c r="L68" t="s">
        <v>21</v>
      </c>
      <c r="M68" t="s">
        <v>30</v>
      </c>
      <c r="N68" t="s">
        <v>44</v>
      </c>
      <c r="O68">
        <v>5</v>
      </c>
    </row>
    <row r="69" spans="1:15" x14ac:dyDescent="0.4">
      <c r="A69" t="s">
        <v>236</v>
      </c>
      <c r="B69" t="s">
        <v>75</v>
      </c>
      <c r="C69" t="s">
        <v>73</v>
      </c>
      <c r="D69" t="s">
        <v>237</v>
      </c>
      <c r="E69" s="15">
        <v>45682</v>
      </c>
      <c r="F69" t="s">
        <v>96</v>
      </c>
      <c r="G69" t="s">
        <v>36</v>
      </c>
      <c r="H69">
        <v>5</v>
      </c>
      <c r="I69" s="3">
        <v>14.99</v>
      </c>
      <c r="J69" s="4">
        <v>0.2</v>
      </c>
      <c r="K69" s="3">
        <v>59.96</v>
      </c>
      <c r="L69" t="s">
        <v>37</v>
      </c>
      <c r="M69" t="s">
        <v>59</v>
      </c>
      <c r="N69" t="s">
        <v>44</v>
      </c>
      <c r="O69">
        <v>13</v>
      </c>
    </row>
    <row r="70" spans="1:15" x14ac:dyDescent="0.4">
      <c r="A70" t="s">
        <v>238</v>
      </c>
      <c r="B70" t="s">
        <v>65</v>
      </c>
      <c r="C70" t="s">
        <v>90</v>
      </c>
      <c r="D70" t="s">
        <v>239</v>
      </c>
      <c r="E70" s="15">
        <v>45683</v>
      </c>
      <c r="F70" t="s">
        <v>127</v>
      </c>
      <c r="G70" t="s">
        <v>20</v>
      </c>
      <c r="H70" t="s">
        <v>240</v>
      </c>
      <c r="I70" s="3">
        <v>149.99</v>
      </c>
      <c r="J70" s="4">
        <v>0.2</v>
      </c>
      <c r="K70" s="3">
        <v>479.97</v>
      </c>
      <c r="L70" t="s">
        <v>86</v>
      </c>
      <c r="M70" t="s">
        <v>30</v>
      </c>
      <c r="N70" t="s">
        <v>44</v>
      </c>
      <c r="O70">
        <v>14</v>
      </c>
    </row>
    <row r="71" spans="1:15" x14ac:dyDescent="0.4">
      <c r="A71" t="s">
        <v>241</v>
      </c>
      <c r="B71" t="s">
        <v>45</v>
      </c>
      <c r="C71" t="s">
        <v>40</v>
      </c>
      <c r="D71" t="s">
        <v>242</v>
      </c>
      <c r="E71" s="15">
        <v>45684</v>
      </c>
      <c r="F71" t="s">
        <v>127</v>
      </c>
      <c r="G71" t="s">
        <v>20</v>
      </c>
      <c r="H71">
        <v>1</v>
      </c>
      <c r="I71" s="3">
        <v>149.99</v>
      </c>
      <c r="J71" s="4">
        <v>0.17</v>
      </c>
      <c r="K71" s="3">
        <v>124.49</v>
      </c>
      <c r="L71" t="s">
        <v>37</v>
      </c>
      <c r="M71" t="s">
        <v>30</v>
      </c>
      <c r="N71" t="s">
        <v>51</v>
      </c>
      <c r="O71">
        <v>2</v>
      </c>
    </row>
    <row r="72" spans="1:15" x14ac:dyDescent="0.4">
      <c r="A72" t="s">
        <v>243</v>
      </c>
      <c r="B72" t="s">
        <v>196</v>
      </c>
      <c r="C72" t="s">
        <v>17</v>
      </c>
      <c r="D72" t="s">
        <v>244</v>
      </c>
      <c r="E72" s="15">
        <v>45685</v>
      </c>
      <c r="F72" t="s">
        <v>28</v>
      </c>
      <c r="G72" t="s">
        <v>20</v>
      </c>
      <c r="H72">
        <v>2</v>
      </c>
      <c r="I72" s="3">
        <v>349.99</v>
      </c>
      <c r="J72" s="4">
        <v>0.15</v>
      </c>
      <c r="K72" s="3">
        <v>594.98</v>
      </c>
      <c r="L72" t="s">
        <v>54</v>
      </c>
      <c r="M72" t="s">
        <v>69</v>
      </c>
      <c r="N72" t="s">
        <v>23</v>
      </c>
      <c r="O72">
        <v>5</v>
      </c>
    </row>
    <row r="73" spans="1:15" x14ac:dyDescent="0.4">
      <c r="A73" t="s">
        <v>245</v>
      </c>
      <c r="B73" t="s">
        <v>16</v>
      </c>
      <c r="C73" t="s">
        <v>102</v>
      </c>
      <c r="D73" t="s">
        <v>246</v>
      </c>
      <c r="E73" s="15">
        <v>45686</v>
      </c>
      <c r="F73" t="s">
        <v>42</v>
      </c>
      <c r="G73" t="s">
        <v>20</v>
      </c>
      <c r="H73">
        <v>3</v>
      </c>
      <c r="I73" s="3">
        <v>999.99</v>
      </c>
      <c r="J73" s="4">
        <v>0.16</v>
      </c>
      <c r="K73" s="3">
        <v>2519.9699999999998</v>
      </c>
      <c r="L73" t="s">
        <v>29</v>
      </c>
      <c r="M73" t="s">
        <v>22</v>
      </c>
      <c r="N73" t="s">
        <v>46</v>
      </c>
      <c r="O73">
        <v>10</v>
      </c>
    </row>
    <row r="74" spans="1:15" x14ac:dyDescent="0.4">
      <c r="A74" t="s">
        <v>247</v>
      </c>
      <c r="B74" t="s">
        <v>211</v>
      </c>
      <c r="C74" t="s">
        <v>17</v>
      </c>
      <c r="D74" t="s">
        <v>248</v>
      </c>
      <c r="E74" s="15">
        <v>45687</v>
      </c>
      <c r="F74" t="s">
        <v>50</v>
      </c>
      <c r="G74" t="s">
        <v>36</v>
      </c>
      <c r="H74">
        <v>2</v>
      </c>
      <c r="I74" s="3">
        <v>39.99</v>
      </c>
      <c r="J74" s="4">
        <v>0.02</v>
      </c>
      <c r="K74" s="3">
        <v>78.38</v>
      </c>
      <c r="L74" t="s">
        <v>37</v>
      </c>
      <c r="M74" t="s">
        <v>30</v>
      </c>
      <c r="N74" t="s">
        <v>23</v>
      </c>
      <c r="O74">
        <v>8</v>
      </c>
    </row>
    <row r="75" spans="1:15" x14ac:dyDescent="0.4">
      <c r="A75" t="s">
        <v>249</v>
      </c>
      <c r="B75" t="s">
        <v>149</v>
      </c>
      <c r="C75" t="s">
        <v>73</v>
      </c>
      <c r="D75" t="s">
        <v>250</v>
      </c>
      <c r="E75" s="15">
        <v>45688</v>
      </c>
      <c r="F75" t="s">
        <v>63</v>
      </c>
      <c r="G75" t="s">
        <v>64</v>
      </c>
      <c r="H75">
        <v>3</v>
      </c>
      <c r="I75" s="3">
        <v>45.99</v>
      </c>
      <c r="J75" s="4">
        <v>0.13</v>
      </c>
      <c r="K75" s="3">
        <v>120.03</v>
      </c>
      <c r="L75" t="s">
        <v>251</v>
      </c>
      <c r="M75" t="s">
        <v>43</v>
      </c>
      <c r="N75" t="s">
        <v>31</v>
      </c>
      <c r="O75">
        <v>10</v>
      </c>
    </row>
    <row r="76" spans="1:15" x14ac:dyDescent="0.4">
      <c r="A76" t="s">
        <v>252</v>
      </c>
      <c r="B76" t="s">
        <v>211</v>
      </c>
      <c r="C76" t="s">
        <v>102</v>
      </c>
      <c r="D76" t="s">
        <v>253</v>
      </c>
      <c r="E76" s="15">
        <v>45689</v>
      </c>
      <c r="F76" t="s">
        <v>127</v>
      </c>
      <c r="G76" t="s">
        <v>92</v>
      </c>
      <c r="H76">
        <v>3</v>
      </c>
      <c r="I76" s="3">
        <v>0</v>
      </c>
      <c r="J76" s="4">
        <v>0.09</v>
      </c>
      <c r="K76" s="3">
        <v>409.47</v>
      </c>
      <c r="L76" t="s">
        <v>54</v>
      </c>
      <c r="M76" t="s">
        <v>22</v>
      </c>
      <c r="N76" t="s">
        <v>31</v>
      </c>
      <c r="O76">
        <v>6</v>
      </c>
    </row>
    <row r="77" spans="1:15" x14ac:dyDescent="0.4">
      <c r="A77" t="s">
        <v>254</v>
      </c>
      <c r="B77" t="s">
        <v>180</v>
      </c>
      <c r="C77" t="s">
        <v>17</v>
      </c>
      <c r="D77" t="s">
        <v>255</v>
      </c>
      <c r="E77" s="15">
        <v>45690</v>
      </c>
      <c r="F77" t="s">
        <v>28</v>
      </c>
      <c r="G77" t="s">
        <v>20</v>
      </c>
      <c r="H77">
        <v>3</v>
      </c>
      <c r="I77" s="3">
        <v>349.99</v>
      </c>
      <c r="J77" s="4">
        <v>0</v>
      </c>
      <c r="K77" s="3">
        <v>1049.97</v>
      </c>
      <c r="L77" t="s">
        <v>54</v>
      </c>
      <c r="M77" t="s">
        <v>30</v>
      </c>
      <c r="N77" t="s">
        <v>31</v>
      </c>
      <c r="O77">
        <v>13</v>
      </c>
    </row>
    <row r="78" spans="1:15" x14ac:dyDescent="0.4">
      <c r="A78" t="s">
        <v>256</v>
      </c>
      <c r="B78" t="s">
        <v>94</v>
      </c>
      <c r="C78" t="s">
        <v>61</v>
      </c>
      <c r="D78" t="s">
        <v>257</v>
      </c>
      <c r="E78" s="15">
        <v>45691</v>
      </c>
      <c r="F78" t="s">
        <v>96</v>
      </c>
      <c r="G78" t="s">
        <v>36</v>
      </c>
      <c r="H78">
        <v>3</v>
      </c>
      <c r="I78" s="3">
        <v>14.99</v>
      </c>
      <c r="J78" s="4">
        <v>0.04</v>
      </c>
      <c r="K78" s="3">
        <v>43.17</v>
      </c>
      <c r="L78" t="s">
        <v>29</v>
      </c>
      <c r="M78" t="s">
        <v>43</v>
      </c>
      <c r="N78" t="s">
        <v>51</v>
      </c>
      <c r="O78">
        <v>13</v>
      </c>
    </row>
    <row r="79" spans="1:15" x14ac:dyDescent="0.4">
      <c r="A79" t="s">
        <v>258</v>
      </c>
      <c r="B79" t="s">
        <v>227</v>
      </c>
      <c r="C79" t="s">
        <v>90</v>
      </c>
      <c r="D79" t="s">
        <v>259</v>
      </c>
      <c r="E79" s="15">
        <v>45692</v>
      </c>
      <c r="F79" t="s">
        <v>42</v>
      </c>
      <c r="G79" t="s">
        <v>20</v>
      </c>
      <c r="H79">
        <v>5</v>
      </c>
      <c r="I79" s="3">
        <v>999.99</v>
      </c>
      <c r="J79" s="4">
        <v>7.0000000000000007E-2</v>
      </c>
      <c r="K79" s="3">
        <v>4649.95</v>
      </c>
      <c r="L79" t="s">
        <v>37</v>
      </c>
      <c r="M79" t="s">
        <v>22</v>
      </c>
      <c r="N79" t="s">
        <v>23</v>
      </c>
      <c r="O79">
        <v>13</v>
      </c>
    </row>
    <row r="80" spans="1:15" x14ac:dyDescent="0.4">
      <c r="A80" t="s">
        <v>260</v>
      </c>
      <c r="B80" t="s">
        <v>45</v>
      </c>
      <c r="C80" t="s">
        <v>102</v>
      </c>
      <c r="D80" t="s">
        <v>261</v>
      </c>
      <c r="E80" s="15">
        <v>45693</v>
      </c>
      <c r="F80" t="s">
        <v>19</v>
      </c>
      <c r="G80" t="s">
        <v>20</v>
      </c>
      <c r="H80">
        <v>5</v>
      </c>
      <c r="I80" s="3">
        <v>89.99</v>
      </c>
      <c r="J80" s="4">
        <v>0.1</v>
      </c>
      <c r="K80" s="3">
        <v>404.95</v>
      </c>
      <c r="L80" t="s">
        <v>21</v>
      </c>
      <c r="M80" t="s">
        <v>59</v>
      </c>
      <c r="N80" t="s">
        <v>51</v>
      </c>
      <c r="O80">
        <v>2</v>
      </c>
    </row>
    <row r="81" spans="1:15" x14ac:dyDescent="0.4">
      <c r="A81" t="s">
        <v>262</v>
      </c>
      <c r="B81" t="s">
        <v>123</v>
      </c>
      <c r="C81" t="s">
        <v>40</v>
      </c>
      <c r="D81" t="s">
        <v>263</v>
      </c>
      <c r="E81" s="15">
        <v>45694</v>
      </c>
      <c r="F81" t="s">
        <v>53</v>
      </c>
      <c r="G81" t="s">
        <v>36</v>
      </c>
      <c r="H81">
        <v>4</v>
      </c>
      <c r="I81" s="3">
        <v>79.989999999999995</v>
      </c>
      <c r="J81" s="4">
        <v>0.19</v>
      </c>
      <c r="K81" s="3">
        <v>259.17</v>
      </c>
      <c r="L81" t="s">
        <v>54</v>
      </c>
      <c r="M81" t="s">
        <v>59</v>
      </c>
      <c r="N81" t="s">
        <v>46</v>
      </c>
      <c r="O81">
        <v>8</v>
      </c>
    </row>
    <row r="82" spans="1:15" x14ac:dyDescent="0.4">
      <c r="A82" t="s">
        <v>264</v>
      </c>
      <c r="B82" t="s">
        <v>67</v>
      </c>
      <c r="C82" t="s">
        <v>130</v>
      </c>
      <c r="D82" t="s">
        <v>265</v>
      </c>
      <c r="E82" s="15">
        <v>45695</v>
      </c>
      <c r="F82" t="s">
        <v>28</v>
      </c>
      <c r="G82" t="s">
        <v>20</v>
      </c>
      <c r="H82">
        <v>5</v>
      </c>
      <c r="I82" s="3">
        <v>349.99</v>
      </c>
      <c r="J82" s="4">
        <v>0.08</v>
      </c>
      <c r="K82" s="3">
        <v>1609.95</v>
      </c>
      <c r="L82" t="s">
        <v>37</v>
      </c>
      <c r="M82" t="s">
        <v>43</v>
      </c>
      <c r="N82" t="s">
        <v>46</v>
      </c>
    </row>
    <row r="83" spans="1:15" x14ac:dyDescent="0.4">
      <c r="A83" t="s">
        <v>267</v>
      </c>
      <c r="B83" t="s">
        <v>120</v>
      </c>
      <c r="C83" t="s">
        <v>73</v>
      </c>
      <c r="D83" t="s">
        <v>268</v>
      </c>
      <c r="E83" s="15">
        <v>45696</v>
      </c>
      <c r="F83" t="s">
        <v>53</v>
      </c>
      <c r="G83" t="s">
        <v>36</v>
      </c>
      <c r="H83">
        <v>1</v>
      </c>
      <c r="I83" s="3">
        <v>79.989999999999995</v>
      </c>
      <c r="J83" s="4">
        <v>0.13</v>
      </c>
      <c r="K83" s="3">
        <v>69.59</v>
      </c>
      <c r="L83" t="s">
        <v>37</v>
      </c>
      <c r="M83" t="s">
        <v>43</v>
      </c>
      <c r="N83" t="s">
        <v>23</v>
      </c>
      <c r="O83">
        <v>1</v>
      </c>
    </row>
    <row r="84" spans="1:15" x14ac:dyDescent="0.4">
      <c r="A84" t="s">
        <v>269</v>
      </c>
      <c r="B84" t="s">
        <v>222</v>
      </c>
      <c r="C84" t="s">
        <v>40</v>
      </c>
      <c r="D84" t="s">
        <v>270</v>
      </c>
      <c r="E84" s="15">
        <v>45697</v>
      </c>
      <c r="F84" t="s">
        <v>63</v>
      </c>
      <c r="G84" t="s">
        <v>64</v>
      </c>
      <c r="H84">
        <v>1</v>
      </c>
      <c r="I84" s="3">
        <v>45.99</v>
      </c>
      <c r="J84" s="4">
        <v>0.02</v>
      </c>
      <c r="K84" s="3">
        <v>-50</v>
      </c>
      <c r="L84" t="s">
        <v>21</v>
      </c>
      <c r="M84" t="s">
        <v>30</v>
      </c>
      <c r="N84" t="s">
        <v>31</v>
      </c>
      <c r="O84">
        <v>12</v>
      </c>
    </row>
    <row r="85" spans="1:15" x14ac:dyDescent="0.4">
      <c r="A85" t="s">
        <v>271</v>
      </c>
      <c r="B85" t="s">
        <v>105</v>
      </c>
      <c r="C85" t="s">
        <v>26</v>
      </c>
      <c r="D85" t="s">
        <v>272</v>
      </c>
      <c r="E85" s="15">
        <v>45698</v>
      </c>
      <c r="F85" t="s">
        <v>127</v>
      </c>
      <c r="G85" t="s">
        <v>20</v>
      </c>
      <c r="H85">
        <v>1</v>
      </c>
      <c r="I85" s="3">
        <v>149.99</v>
      </c>
      <c r="J85" s="4">
        <v>0.17</v>
      </c>
      <c r="K85" s="3">
        <v>124.49</v>
      </c>
      <c r="L85" t="s">
        <v>21</v>
      </c>
      <c r="M85" t="s">
        <v>22</v>
      </c>
      <c r="N85" t="s">
        <v>31</v>
      </c>
      <c r="O85">
        <v>4</v>
      </c>
    </row>
    <row r="86" spans="1:15" x14ac:dyDescent="0.4">
      <c r="A86" t="s">
        <v>273</v>
      </c>
      <c r="B86" t="s">
        <v>16</v>
      </c>
      <c r="C86" t="s">
        <v>130</v>
      </c>
      <c r="D86" t="s">
        <v>274</v>
      </c>
      <c r="E86" s="15">
        <v>45699</v>
      </c>
      <c r="F86" t="s">
        <v>35</v>
      </c>
      <c r="G86" t="s">
        <v>36</v>
      </c>
      <c r="H86">
        <v>3</v>
      </c>
      <c r="I86" s="3">
        <v>29.99</v>
      </c>
      <c r="J86" s="4"/>
      <c r="K86" s="3">
        <v>80.069999999999993</v>
      </c>
      <c r="L86" t="s">
        <v>29</v>
      </c>
      <c r="M86" t="s">
        <v>43</v>
      </c>
      <c r="N86" t="s">
        <v>31</v>
      </c>
      <c r="O86">
        <v>11</v>
      </c>
    </row>
    <row r="87" spans="1:15" x14ac:dyDescent="0.4">
      <c r="A87" t="s">
        <v>275</v>
      </c>
      <c r="B87" t="s">
        <v>149</v>
      </c>
      <c r="C87" t="s">
        <v>130</v>
      </c>
      <c r="D87" t="s">
        <v>276</v>
      </c>
      <c r="E87" s="15">
        <v>45700</v>
      </c>
      <c r="F87" t="s">
        <v>96</v>
      </c>
      <c r="G87" t="s">
        <v>36</v>
      </c>
      <c r="H87">
        <v>1</v>
      </c>
      <c r="I87" s="3">
        <v>14.99</v>
      </c>
      <c r="J87" s="4">
        <v>0.01</v>
      </c>
      <c r="K87" s="3">
        <v>14.84</v>
      </c>
      <c r="L87" t="s">
        <v>29</v>
      </c>
      <c r="M87" t="s">
        <v>43</v>
      </c>
      <c r="N87" t="s">
        <v>46</v>
      </c>
      <c r="O87">
        <v>10</v>
      </c>
    </row>
    <row r="88" spans="1:15" x14ac:dyDescent="0.4">
      <c r="A88" t="s">
        <v>277</v>
      </c>
      <c r="B88" t="s">
        <v>72</v>
      </c>
      <c r="C88" t="s">
        <v>26</v>
      </c>
      <c r="D88" t="s">
        <v>278</v>
      </c>
      <c r="E88" s="15">
        <v>45701</v>
      </c>
      <c r="F88" t="s">
        <v>53</v>
      </c>
      <c r="G88" t="s">
        <v>36</v>
      </c>
      <c r="H88">
        <v>3</v>
      </c>
      <c r="I88" s="3">
        <v>79.989999999999995</v>
      </c>
      <c r="J88" s="4">
        <v>0.15</v>
      </c>
      <c r="K88" s="3">
        <v>203.97</v>
      </c>
      <c r="L88" t="s">
        <v>29</v>
      </c>
      <c r="M88" t="s">
        <v>30</v>
      </c>
      <c r="N88" t="s">
        <v>44</v>
      </c>
      <c r="O88">
        <v>2</v>
      </c>
    </row>
    <row r="89" spans="1:15" x14ac:dyDescent="0.4">
      <c r="A89" t="s">
        <v>279</v>
      </c>
      <c r="B89" t="s">
        <v>193</v>
      </c>
      <c r="C89" t="s">
        <v>61</v>
      </c>
      <c r="D89" t="s">
        <v>280</v>
      </c>
      <c r="E89" s="15">
        <v>45702</v>
      </c>
      <c r="F89" t="s">
        <v>50</v>
      </c>
      <c r="G89" t="s">
        <v>36</v>
      </c>
      <c r="H89">
        <v>1</v>
      </c>
      <c r="I89" s="3">
        <v>39.99</v>
      </c>
      <c r="J89" s="4">
        <v>7.0000000000000007E-2</v>
      </c>
      <c r="K89" s="3">
        <v>37.19</v>
      </c>
      <c r="L89" t="s">
        <v>29</v>
      </c>
      <c r="M89" t="s">
        <v>59</v>
      </c>
      <c r="N89" t="s">
        <v>51</v>
      </c>
      <c r="O89">
        <v>12</v>
      </c>
    </row>
    <row r="90" spans="1:15" x14ac:dyDescent="0.4">
      <c r="A90" t="s">
        <v>281</v>
      </c>
      <c r="B90" t="s">
        <v>48</v>
      </c>
      <c r="C90" t="s">
        <v>73</v>
      </c>
      <c r="D90" t="s">
        <v>282</v>
      </c>
      <c r="E90" s="15">
        <v>45703</v>
      </c>
      <c r="F90" t="s">
        <v>58</v>
      </c>
      <c r="G90" t="s">
        <v>36</v>
      </c>
      <c r="H90">
        <v>1</v>
      </c>
      <c r="I90" s="3">
        <v>19.989999999999998</v>
      </c>
      <c r="J90" s="4">
        <v>0.15</v>
      </c>
      <c r="K90" s="3">
        <v>16.989999999999998</v>
      </c>
      <c r="L90" t="s">
        <v>86</v>
      </c>
      <c r="M90" t="s">
        <v>30</v>
      </c>
      <c r="N90" t="s">
        <v>51</v>
      </c>
      <c r="O90">
        <v>9</v>
      </c>
    </row>
    <row r="91" spans="1:15" x14ac:dyDescent="0.4">
      <c r="A91" t="s">
        <v>283</v>
      </c>
      <c r="B91" t="s">
        <v>149</v>
      </c>
      <c r="C91" t="s">
        <v>40</v>
      </c>
      <c r="D91" t="s">
        <v>284</v>
      </c>
      <c r="E91" s="15">
        <v>45704</v>
      </c>
      <c r="F91" t="s">
        <v>285</v>
      </c>
      <c r="G91" t="s">
        <v>36</v>
      </c>
      <c r="H91">
        <v>1</v>
      </c>
      <c r="I91" s="3">
        <v>14.99</v>
      </c>
      <c r="J91" s="4">
        <v>0.15</v>
      </c>
      <c r="K91" s="3">
        <v>12.74</v>
      </c>
      <c r="L91" t="s">
        <v>54</v>
      </c>
      <c r="M91" t="s">
        <v>43</v>
      </c>
      <c r="N91" t="s">
        <v>31</v>
      </c>
      <c r="O91">
        <v>7</v>
      </c>
    </row>
    <row r="92" spans="1:15" x14ac:dyDescent="0.4">
      <c r="A92" t="s">
        <v>286</v>
      </c>
      <c r="B92" t="s">
        <v>196</v>
      </c>
      <c r="C92" t="s">
        <v>117</v>
      </c>
      <c r="D92" t="s">
        <v>287</v>
      </c>
      <c r="E92" s="15">
        <v>45705</v>
      </c>
      <c r="F92" t="s">
        <v>63</v>
      </c>
      <c r="G92" t="s">
        <v>64</v>
      </c>
      <c r="H92" s="3">
        <v>4</v>
      </c>
      <c r="I92" s="3">
        <v>45.99</v>
      </c>
      <c r="J92" s="4">
        <v>0.01</v>
      </c>
      <c r="K92" s="3">
        <v>182.12</v>
      </c>
      <c r="L92" t="s">
        <v>54</v>
      </c>
      <c r="M92" t="s">
        <v>22</v>
      </c>
      <c r="N92" t="s">
        <v>44</v>
      </c>
      <c r="O92">
        <v>11</v>
      </c>
    </row>
    <row r="93" spans="1:15" x14ac:dyDescent="0.4">
      <c r="A93" t="s">
        <v>288</v>
      </c>
      <c r="B93" t="s">
        <v>177</v>
      </c>
      <c r="C93" t="s">
        <v>26</v>
      </c>
      <c r="D93" t="s">
        <v>289</v>
      </c>
      <c r="E93" s="15">
        <v>45706</v>
      </c>
      <c r="F93" t="s">
        <v>58</v>
      </c>
      <c r="G93" t="s">
        <v>36</v>
      </c>
      <c r="H93">
        <v>3</v>
      </c>
      <c r="I93" s="3">
        <v>19.989999999999998</v>
      </c>
      <c r="J93" s="4"/>
      <c r="K93" s="3">
        <v>55.17</v>
      </c>
      <c r="L93" t="s">
        <v>86</v>
      </c>
      <c r="M93" t="s">
        <v>30</v>
      </c>
      <c r="N93" t="s">
        <v>31</v>
      </c>
      <c r="O93">
        <v>13</v>
      </c>
    </row>
    <row r="94" spans="1:15" x14ac:dyDescent="0.4">
      <c r="A94" t="s">
        <v>290</v>
      </c>
      <c r="B94" t="s">
        <v>45</v>
      </c>
      <c r="C94" t="s">
        <v>61</v>
      </c>
      <c r="D94" t="s">
        <v>291</v>
      </c>
      <c r="E94" s="15">
        <v>45707</v>
      </c>
      <c r="F94" t="s">
        <v>58</v>
      </c>
      <c r="G94" t="s">
        <v>36</v>
      </c>
      <c r="H94">
        <v>2</v>
      </c>
      <c r="I94" s="3">
        <v>19.989999999999998</v>
      </c>
      <c r="J94" s="4">
        <v>0.09</v>
      </c>
      <c r="K94" s="3">
        <v>36.380000000000003</v>
      </c>
      <c r="L94" t="s">
        <v>37</v>
      </c>
      <c r="M94" t="s">
        <v>69</v>
      </c>
      <c r="N94" t="s">
        <v>51</v>
      </c>
      <c r="O94">
        <v>7</v>
      </c>
    </row>
    <row r="95" spans="1:15" x14ac:dyDescent="0.4">
      <c r="A95" t="s">
        <v>292</v>
      </c>
      <c r="B95" t="s">
        <v>16</v>
      </c>
      <c r="C95" t="s">
        <v>73</v>
      </c>
      <c r="D95" t="s">
        <v>293</v>
      </c>
      <c r="E95" s="15">
        <v>45708</v>
      </c>
      <c r="F95" t="s">
        <v>28</v>
      </c>
      <c r="G95" t="s">
        <v>20</v>
      </c>
      <c r="H95">
        <v>3</v>
      </c>
      <c r="I95" s="3">
        <v>349.99</v>
      </c>
      <c r="J95" s="4">
        <v>0.19</v>
      </c>
      <c r="K95" s="3">
        <v>850.48</v>
      </c>
      <c r="L95" t="s">
        <v>54</v>
      </c>
      <c r="M95" t="s">
        <v>69</v>
      </c>
      <c r="N95" t="s">
        <v>51</v>
      </c>
      <c r="O95">
        <v>12</v>
      </c>
    </row>
    <row r="96" spans="1:15" x14ac:dyDescent="0.4">
      <c r="A96" t="s">
        <v>294</v>
      </c>
      <c r="B96" t="s">
        <v>123</v>
      </c>
      <c r="C96" t="s">
        <v>40</v>
      </c>
      <c r="D96" t="s">
        <v>295</v>
      </c>
      <c r="E96" s="15">
        <v>45709</v>
      </c>
      <c r="F96" t="s">
        <v>50</v>
      </c>
      <c r="G96" t="s">
        <v>36</v>
      </c>
      <c r="H96">
        <v>5</v>
      </c>
      <c r="I96" s="3">
        <v>39.99</v>
      </c>
      <c r="J96" s="4">
        <v>0.01</v>
      </c>
      <c r="K96" s="3" t="s">
        <v>296</v>
      </c>
      <c r="L96" t="s">
        <v>54</v>
      </c>
      <c r="M96" t="s">
        <v>69</v>
      </c>
      <c r="N96" t="s">
        <v>44</v>
      </c>
      <c r="O96">
        <v>13</v>
      </c>
    </row>
    <row r="97" spans="1:15" x14ac:dyDescent="0.4">
      <c r="A97" t="s">
        <v>297</v>
      </c>
      <c r="B97" t="s">
        <v>110</v>
      </c>
      <c r="C97" t="s">
        <v>130</v>
      </c>
      <c r="D97" t="s">
        <v>298</v>
      </c>
      <c r="E97" s="15">
        <v>45710</v>
      </c>
      <c r="F97" t="s">
        <v>42</v>
      </c>
      <c r="G97" t="s">
        <v>20</v>
      </c>
      <c r="H97">
        <v>3</v>
      </c>
      <c r="I97" s="3">
        <v>999.99</v>
      </c>
      <c r="J97" s="4">
        <v>0.12</v>
      </c>
      <c r="K97" s="3">
        <v>2639.97</v>
      </c>
      <c r="L97" t="s">
        <v>29</v>
      </c>
      <c r="M97" t="s">
        <v>22</v>
      </c>
      <c r="N97" t="s">
        <v>31</v>
      </c>
      <c r="O97">
        <v>14</v>
      </c>
    </row>
    <row r="98" spans="1:15" x14ac:dyDescent="0.4">
      <c r="A98" t="s">
        <v>299</v>
      </c>
      <c r="B98" t="s">
        <v>52</v>
      </c>
      <c r="C98" t="s">
        <v>102</v>
      </c>
      <c r="D98" t="s">
        <v>300</v>
      </c>
      <c r="E98" s="15">
        <v>45711</v>
      </c>
      <c r="F98" t="s">
        <v>19</v>
      </c>
      <c r="G98" t="s">
        <v>20</v>
      </c>
      <c r="H98">
        <v>5</v>
      </c>
      <c r="I98" s="3">
        <v>89.99</v>
      </c>
      <c r="J98" s="4">
        <v>7.0000000000000007E-2</v>
      </c>
      <c r="K98" s="3">
        <v>418.45</v>
      </c>
      <c r="L98" t="s">
        <v>86</v>
      </c>
      <c r="M98" t="s">
        <v>30</v>
      </c>
      <c r="N98" t="s">
        <v>46</v>
      </c>
      <c r="O98">
        <v>11</v>
      </c>
    </row>
    <row r="99" spans="1:15" x14ac:dyDescent="0.4">
      <c r="A99" t="s">
        <v>301</v>
      </c>
      <c r="B99" t="s">
        <v>67</v>
      </c>
      <c r="C99" t="s">
        <v>102</v>
      </c>
      <c r="D99" t="s">
        <v>302</v>
      </c>
      <c r="E99" s="15">
        <v>45712</v>
      </c>
      <c r="F99" t="s">
        <v>42</v>
      </c>
      <c r="G99" t="s">
        <v>20</v>
      </c>
      <c r="H99">
        <v>5</v>
      </c>
      <c r="I99" s="3">
        <v>999.99</v>
      </c>
      <c r="J99" s="4">
        <v>0.19</v>
      </c>
      <c r="K99" s="3">
        <v>4049.96</v>
      </c>
      <c r="L99" t="s">
        <v>21</v>
      </c>
      <c r="M99" t="s">
        <v>59</v>
      </c>
      <c r="N99" t="s">
        <v>44</v>
      </c>
      <c r="O99">
        <v>3</v>
      </c>
    </row>
    <row r="100" spans="1:15" x14ac:dyDescent="0.4">
      <c r="A100" t="s">
        <v>303</v>
      </c>
      <c r="B100" t="s">
        <v>304</v>
      </c>
      <c r="C100" t="s">
        <v>71</v>
      </c>
      <c r="D100" t="s">
        <v>305</v>
      </c>
      <c r="E100" s="15">
        <v>45713</v>
      </c>
      <c r="F100" t="s">
        <v>96</v>
      </c>
      <c r="G100" t="s">
        <v>36</v>
      </c>
      <c r="H100">
        <v>4</v>
      </c>
      <c r="I100" s="3">
        <v>14.99</v>
      </c>
      <c r="J100" s="4">
        <v>0.01</v>
      </c>
      <c r="K100" s="3">
        <v>59.36</v>
      </c>
      <c r="L100" t="s">
        <v>29</v>
      </c>
      <c r="M100" t="s">
        <v>69</v>
      </c>
      <c r="N100" t="s">
        <v>31</v>
      </c>
      <c r="O100">
        <v>6</v>
      </c>
    </row>
    <row r="101" spans="1:15" x14ac:dyDescent="0.4">
      <c r="A101" t="s">
        <v>306</v>
      </c>
      <c r="B101" t="s">
        <v>232</v>
      </c>
      <c r="C101" t="s">
        <v>26</v>
      </c>
      <c r="E101" s="15">
        <v>45714</v>
      </c>
      <c r="F101" t="s">
        <v>19</v>
      </c>
      <c r="G101" t="s">
        <v>20</v>
      </c>
      <c r="H101">
        <v>3</v>
      </c>
      <c r="I101" s="3">
        <v>89.99</v>
      </c>
      <c r="J101" s="4">
        <v>0.14000000000000001</v>
      </c>
      <c r="K101" s="3">
        <v>232.17</v>
      </c>
      <c r="L101" t="s">
        <v>29</v>
      </c>
      <c r="M101" t="s">
        <v>22</v>
      </c>
      <c r="N101" t="s">
        <v>46</v>
      </c>
      <c r="O101">
        <v>11</v>
      </c>
    </row>
    <row r="102" spans="1:15" x14ac:dyDescent="0.4">
      <c r="A102" t="s">
        <v>307</v>
      </c>
      <c r="B102" t="s">
        <v>232</v>
      </c>
      <c r="C102" t="s">
        <v>73</v>
      </c>
      <c r="E102" s="15">
        <v>45715</v>
      </c>
      <c r="F102" t="s">
        <v>28</v>
      </c>
      <c r="G102" t="s">
        <v>20</v>
      </c>
      <c r="H102">
        <v>4</v>
      </c>
      <c r="I102" s="3">
        <v>349.99</v>
      </c>
      <c r="J102" s="4">
        <v>0.13</v>
      </c>
      <c r="K102" s="3">
        <v>1217.97</v>
      </c>
      <c r="L102" t="s">
        <v>21</v>
      </c>
      <c r="M102" t="s">
        <v>22</v>
      </c>
      <c r="N102" t="s">
        <v>46</v>
      </c>
      <c r="O102">
        <v>6</v>
      </c>
    </row>
    <row r="103" spans="1:15" x14ac:dyDescent="0.4">
      <c r="A103" t="s">
        <v>308</v>
      </c>
      <c r="B103" t="s">
        <v>309</v>
      </c>
      <c r="C103" t="s">
        <v>26</v>
      </c>
      <c r="D103" t="s">
        <v>310</v>
      </c>
      <c r="E103" s="15">
        <v>45716</v>
      </c>
      <c r="F103" t="s">
        <v>35</v>
      </c>
      <c r="G103" t="s">
        <v>36</v>
      </c>
      <c r="H103" t="s">
        <v>266</v>
      </c>
      <c r="I103" s="3">
        <v>29.99</v>
      </c>
      <c r="J103" s="4">
        <v>0.14000000000000001</v>
      </c>
      <c r="K103" s="3">
        <v>77.37</v>
      </c>
      <c r="L103" t="s">
        <v>21</v>
      </c>
      <c r="M103" t="s">
        <v>43</v>
      </c>
      <c r="N103" t="s">
        <v>23</v>
      </c>
      <c r="O103">
        <v>10</v>
      </c>
    </row>
    <row r="104" spans="1:15" x14ac:dyDescent="0.4">
      <c r="A104" t="s">
        <v>311</v>
      </c>
      <c r="B104" t="s">
        <v>52</v>
      </c>
      <c r="C104" t="s">
        <v>61</v>
      </c>
      <c r="D104" t="s">
        <v>312</v>
      </c>
      <c r="E104" s="15">
        <v>45717</v>
      </c>
      <c r="F104" t="s">
        <v>42</v>
      </c>
      <c r="G104" t="s">
        <v>20</v>
      </c>
      <c r="H104">
        <v>2</v>
      </c>
      <c r="I104" s="3">
        <v>999.99</v>
      </c>
      <c r="J104" s="4">
        <v>0.06</v>
      </c>
      <c r="K104" s="3">
        <v>1879.98</v>
      </c>
      <c r="L104" t="s">
        <v>21</v>
      </c>
      <c r="M104" t="s">
        <v>59</v>
      </c>
      <c r="N104" t="s">
        <v>51</v>
      </c>
      <c r="O104">
        <v>8</v>
      </c>
    </row>
    <row r="105" spans="1:15" x14ac:dyDescent="0.4">
      <c r="A105" t="s">
        <v>313</v>
      </c>
      <c r="B105" t="s">
        <v>84</v>
      </c>
      <c r="C105" t="s">
        <v>61</v>
      </c>
      <c r="D105" t="s">
        <v>314</v>
      </c>
      <c r="E105" s="15">
        <v>45718</v>
      </c>
      <c r="F105" t="s">
        <v>50</v>
      </c>
      <c r="G105" t="s">
        <v>36</v>
      </c>
      <c r="H105">
        <v>2</v>
      </c>
      <c r="I105" s="3">
        <v>39.99</v>
      </c>
      <c r="J105" s="4">
        <v>0.08</v>
      </c>
      <c r="K105" s="3">
        <v>73.58</v>
      </c>
      <c r="L105" t="s">
        <v>21</v>
      </c>
      <c r="M105" t="s">
        <v>43</v>
      </c>
      <c r="N105" t="s">
        <v>31</v>
      </c>
      <c r="O105">
        <v>1</v>
      </c>
    </row>
    <row r="106" spans="1:15" x14ac:dyDescent="0.4">
      <c r="A106" t="s">
        <v>315</v>
      </c>
      <c r="B106" t="s">
        <v>304</v>
      </c>
      <c r="C106" t="s">
        <v>130</v>
      </c>
      <c r="D106" t="s">
        <v>316</v>
      </c>
      <c r="E106" s="15">
        <v>45719</v>
      </c>
      <c r="F106" t="s">
        <v>42</v>
      </c>
      <c r="G106" t="s">
        <v>20</v>
      </c>
      <c r="H106">
        <v>4</v>
      </c>
      <c r="I106" s="3">
        <v>999.99</v>
      </c>
      <c r="J106" s="4"/>
      <c r="K106" s="3">
        <v>3279.97</v>
      </c>
      <c r="L106" t="s">
        <v>37</v>
      </c>
      <c r="M106" t="s">
        <v>69</v>
      </c>
      <c r="N106" t="s">
        <v>44</v>
      </c>
      <c r="O106">
        <v>7</v>
      </c>
    </row>
    <row r="107" spans="1:15" x14ac:dyDescent="0.4">
      <c r="A107" t="s">
        <v>317</v>
      </c>
      <c r="B107" t="s">
        <v>318</v>
      </c>
      <c r="C107" t="s">
        <v>26</v>
      </c>
      <c r="D107" t="s">
        <v>319</v>
      </c>
      <c r="E107" s="15">
        <v>45720</v>
      </c>
      <c r="F107" t="s">
        <v>19</v>
      </c>
      <c r="G107" t="s">
        <v>20</v>
      </c>
      <c r="H107">
        <v>2</v>
      </c>
      <c r="I107" s="3">
        <v>89.99</v>
      </c>
      <c r="J107" s="4">
        <v>0.16</v>
      </c>
      <c r="K107" s="3">
        <v>151.18</v>
      </c>
      <c r="L107" t="s">
        <v>21</v>
      </c>
      <c r="M107" t="s">
        <v>43</v>
      </c>
      <c r="N107" t="s">
        <v>31</v>
      </c>
      <c r="O107">
        <v>4</v>
      </c>
    </row>
    <row r="108" spans="1:15" x14ac:dyDescent="0.4">
      <c r="A108" t="s">
        <v>320</v>
      </c>
      <c r="B108" t="s">
        <v>45</v>
      </c>
      <c r="C108" t="s">
        <v>17</v>
      </c>
      <c r="D108" t="s">
        <v>321</v>
      </c>
      <c r="E108" s="15">
        <v>45721</v>
      </c>
      <c r="F108" t="s">
        <v>96</v>
      </c>
      <c r="G108" t="s">
        <v>36</v>
      </c>
      <c r="H108">
        <v>4</v>
      </c>
      <c r="I108" s="3">
        <v>14.99</v>
      </c>
      <c r="J108" s="4"/>
      <c r="K108" s="3">
        <v>53.96</v>
      </c>
      <c r="L108" t="s">
        <v>29</v>
      </c>
      <c r="M108" t="s">
        <v>59</v>
      </c>
      <c r="N108" t="s">
        <v>23</v>
      </c>
      <c r="O108">
        <v>-3</v>
      </c>
    </row>
    <row r="109" spans="1:15" x14ac:dyDescent="0.4">
      <c r="A109" t="s">
        <v>322</v>
      </c>
      <c r="B109" t="s">
        <v>222</v>
      </c>
      <c r="C109" t="s">
        <v>130</v>
      </c>
      <c r="D109" t="s">
        <v>323</v>
      </c>
      <c r="E109" s="15">
        <v>45722</v>
      </c>
      <c r="F109" t="s">
        <v>58</v>
      </c>
      <c r="G109" t="s">
        <v>92</v>
      </c>
      <c r="H109">
        <v>5</v>
      </c>
      <c r="I109" s="3">
        <v>19.989999999999998</v>
      </c>
      <c r="J109" s="4">
        <v>0.04</v>
      </c>
      <c r="K109" s="3">
        <v>95.95</v>
      </c>
      <c r="L109" t="s">
        <v>29</v>
      </c>
      <c r="M109" t="s">
        <v>22</v>
      </c>
      <c r="N109" t="s">
        <v>324</v>
      </c>
      <c r="O109">
        <v>5</v>
      </c>
    </row>
    <row r="110" spans="1:15" x14ac:dyDescent="0.4">
      <c r="A110" t="s">
        <v>325</v>
      </c>
      <c r="B110" t="s">
        <v>94</v>
      </c>
      <c r="C110" t="s">
        <v>117</v>
      </c>
      <c r="D110" t="s">
        <v>326</v>
      </c>
      <c r="E110" s="15">
        <v>45723</v>
      </c>
      <c r="F110" t="s">
        <v>50</v>
      </c>
      <c r="G110" t="s">
        <v>36</v>
      </c>
      <c r="H110">
        <v>5</v>
      </c>
      <c r="I110" s="3">
        <v>39.99</v>
      </c>
      <c r="J110" s="4">
        <v>0.03</v>
      </c>
      <c r="K110" s="3">
        <v>193.95</v>
      </c>
      <c r="L110" t="s">
        <v>37</v>
      </c>
      <c r="M110" t="s">
        <v>69</v>
      </c>
      <c r="N110" t="s">
        <v>46</v>
      </c>
      <c r="O110">
        <v>8</v>
      </c>
    </row>
    <row r="111" spans="1:15" x14ac:dyDescent="0.4">
      <c r="A111" t="s">
        <v>327</v>
      </c>
      <c r="B111" t="s">
        <v>214</v>
      </c>
      <c r="C111" t="s">
        <v>130</v>
      </c>
      <c r="D111" t="s">
        <v>328</v>
      </c>
      <c r="E111" s="15">
        <v>45724</v>
      </c>
      <c r="F111" t="s">
        <v>96</v>
      </c>
      <c r="G111" t="s">
        <v>36</v>
      </c>
      <c r="H111">
        <v>3</v>
      </c>
      <c r="I111" s="3">
        <v>14.99</v>
      </c>
      <c r="J111" s="4">
        <v>0.17</v>
      </c>
      <c r="K111" s="3">
        <v>37.33</v>
      </c>
      <c r="L111" t="s">
        <v>37</v>
      </c>
      <c r="M111" t="s">
        <v>69</v>
      </c>
      <c r="N111" t="s">
        <v>44</v>
      </c>
      <c r="O111">
        <v>10</v>
      </c>
    </row>
    <row r="112" spans="1:15" x14ac:dyDescent="0.4">
      <c r="A112" t="s">
        <v>275</v>
      </c>
      <c r="B112" t="s">
        <v>149</v>
      </c>
      <c r="C112" t="s">
        <v>130</v>
      </c>
      <c r="D112" t="s">
        <v>276</v>
      </c>
      <c r="E112" s="15">
        <v>45725</v>
      </c>
      <c r="F112" t="s">
        <v>96</v>
      </c>
      <c r="G112" t="s">
        <v>36</v>
      </c>
      <c r="H112">
        <v>1</v>
      </c>
      <c r="I112" s="3">
        <v>14.99</v>
      </c>
      <c r="J112" s="4">
        <v>0.01</v>
      </c>
      <c r="K112" s="3">
        <v>14.84</v>
      </c>
      <c r="L112" t="s">
        <v>29</v>
      </c>
      <c r="M112" t="s">
        <v>43</v>
      </c>
      <c r="N112" t="s">
        <v>46</v>
      </c>
      <c r="O112">
        <v>10</v>
      </c>
    </row>
    <row r="113" spans="1:15" x14ac:dyDescent="0.4">
      <c r="A113" t="s">
        <v>190</v>
      </c>
      <c r="B113" t="s">
        <v>84</v>
      </c>
      <c r="C113" t="s">
        <v>61</v>
      </c>
      <c r="D113" t="s">
        <v>191</v>
      </c>
      <c r="E113" s="15">
        <v>45726</v>
      </c>
      <c r="F113" t="s">
        <v>63</v>
      </c>
      <c r="G113" t="s">
        <v>64</v>
      </c>
      <c r="H113">
        <v>1</v>
      </c>
      <c r="I113" s="3">
        <v>45.99</v>
      </c>
      <c r="J113" s="4">
        <v>0.02</v>
      </c>
      <c r="K113" s="3">
        <v>45.07</v>
      </c>
      <c r="L113" t="s">
        <v>21</v>
      </c>
      <c r="M113" t="s">
        <v>30</v>
      </c>
      <c r="N113" t="s">
        <v>44</v>
      </c>
      <c r="O113">
        <v>9</v>
      </c>
    </row>
    <row r="114" spans="1:15" x14ac:dyDescent="0.4">
      <c r="A114" t="s">
        <v>200</v>
      </c>
      <c r="B114" t="s">
        <v>177</v>
      </c>
      <c r="C114" t="s">
        <v>90</v>
      </c>
      <c r="D114" t="s">
        <v>329</v>
      </c>
      <c r="E114" s="15">
        <v>45727</v>
      </c>
      <c r="F114" t="s">
        <v>63</v>
      </c>
      <c r="G114" t="s">
        <v>64</v>
      </c>
      <c r="H114">
        <v>4</v>
      </c>
      <c r="I114" s="3">
        <v>45.99</v>
      </c>
      <c r="J114" s="4"/>
      <c r="K114" s="3">
        <v>167.4</v>
      </c>
      <c r="L114" t="s">
        <v>54</v>
      </c>
      <c r="M114" t="s">
        <v>43</v>
      </c>
      <c r="N114" t="s">
        <v>31</v>
      </c>
      <c r="O114">
        <v>2</v>
      </c>
    </row>
    <row r="115" spans="1:15" x14ac:dyDescent="0.4">
      <c r="A115" t="s">
        <v>322</v>
      </c>
      <c r="B115" t="s">
        <v>222</v>
      </c>
      <c r="C115" t="s">
        <v>130</v>
      </c>
      <c r="D115" t="s">
        <v>323</v>
      </c>
      <c r="E115" s="15">
        <v>45728</v>
      </c>
      <c r="F115" t="s">
        <v>58</v>
      </c>
      <c r="G115" t="s">
        <v>36</v>
      </c>
      <c r="H115">
        <v>5</v>
      </c>
      <c r="I115" s="3">
        <v>19.989999999999998</v>
      </c>
      <c r="J115" s="4">
        <v>0.04</v>
      </c>
      <c r="K115" s="3">
        <v>95.95</v>
      </c>
      <c r="L115" t="s">
        <v>330</v>
      </c>
      <c r="M115" t="s">
        <v>22</v>
      </c>
      <c r="N115" t="s">
        <v>51</v>
      </c>
      <c r="O115">
        <v>5</v>
      </c>
    </row>
    <row r="116" spans="1:15" x14ac:dyDescent="0.4">
      <c r="A116" t="s">
        <v>238</v>
      </c>
      <c r="B116" t="s">
        <v>65</v>
      </c>
      <c r="C116" t="s">
        <v>90</v>
      </c>
      <c r="D116" t="s">
        <v>239</v>
      </c>
      <c r="E116" s="15">
        <v>45729</v>
      </c>
      <c r="F116" t="s">
        <v>127</v>
      </c>
      <c r="G116" t="s">
        <v>20</v>
      </c>
      <c r="H116">
        <v>4</v>
      </c>
      <c r="I116" s="3">
        <v>149.99</v>
      </c>
      <c r="J116" s="4">
        <v>0.2</v>
      </c>
      <c r="K116" s="3">
        <v>479.97</v>
      </c>
      <c r="L116" t="s">
        <v>86</v>
      </c>
      <c r="M116" t="s">
        <v>30</v>
      </c>
      <c r="N116" t="s">
        <v>44</v>
      </c>
      <c r="O116">
        <v>14</v>
      </c>
    </row>
    <row r="117" spans="1:15" x14ac:dyDescent="0.4">
      <c r="A117" t="s">
        <v>66</v>
      </c>
      <c r="B117" t="s">
        <v>67</v>
      </c>
      <c r="C117" t="s">
        <v>331</v>
      </c>
      <c r="E117" s="15">
        <v>45730</v>
      </c>
      <c r="F117" t="s">
        <v>53</v>
      </c>
      <c r="G117" t="s">
        <v>36</v>
      </c>
      <c r="H117">
        <v>5</v>
      </c>
      <c r="I117" s="3">
        <v>79.989999999999995</v>
      </c>
      <c r="J117" s="4">
        <v>0.03</v>
      </c>
      <c r="K117" s="3">
        <v>387.95</v>
      </c>
      <c r="L117" t="s">
        <v>37</v>
      </c>
      <c r="M117" t="s">
        <v>332</v>
      </c>
      <c r="N117" t="s">
        <v>23</v>
      </c>
      <c r="O117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BC31-B087-4F5E-B120-D845C34C76B1}">
  <dimension ref="B2:M46"/>
  <sheetViews>
    <sheetView topLeftCell="A14" workbookViewId="0">
      <selection activeCell="F19" sqref="F19"/>
    </sheetView>
  </sheetViews>
  <sheetFormatPr defaultRowHeight="14.6" x14ac:dyDescent="0.4"/>
  <cols>
    <col min="2" max="2" width="13.921875" bestFit="1" customWidth="1"/>
    <col min="3" max="3" width="12.3828125" bestFit="1" customWidth="1"/>
    <col min="4" max="4" width="15.921875" bestFit="1" customWidth="1"/>
    <col min="5" max="5" width="12.3828125" bestFit="1" customWidth="1"/>
    <col min="6" max="6" width="19.07421875" bestFit="1" customWidth="1"/>
    <col min="7" max="7" width="18.69140625" bestFit="1" customWidth="1"/>
    <col min="8" max="9" width="10.15234375" bestFit="1" customWidth="1"/>
    <col min="10" max="10" width="12.3828125" bestFit="1" customWidth="1"/>
    <col min="11" max="12" width="18.69140625" bestFit="1" customWidth="1"/>
    <col min="13" max="13" width="18.4609375" bestFit="1" customWidth="1"/>
    <col min="14" max="14" width="8.61328125" bestFit="1" customWidth="1"/>
    <col min="15" max="15" width="10.15234375" bestFit="1" customWidth="1"/>
    <col min="16" max="17" width="11.15234375" bestFit="1" customWidth="1"/>
    <col min="18" max="101" width="15.15234375" bestFit="1" customWidth="1"/>
    <col min="102" max="102" width="10.69140625" bestFit="1" customWidth="1"/>
  </cols>
  <sheetData>
    <row r="2" spans="3:13" x14ac:dyDescent="0.4">
      <c r="F2" s="14" t="s">
        <v>338</v>
      </c>
      <c r="G2" t="s">
        <v>334</v>
      </c>
      <c r="I2" s="6">
        <v>0.19613976063907551</v>
      </c>
    </row>
    <row r="3" spans="3:13" x14ac:dyDescent="0.4">
      <c r="F3" s="5" t="s">
        <v>46</v>
      </c>
      <c r="G3" s="7">
        <v>11068.710000000001</v>
      </c>
      <c r="I3" s="6">
        <v>0.24282557811711175</v>
      </c>
    </row>
    <row r="4" spans="3:13" x14ac:dyDescent="0.4">
      <c r="F4" s="5" t="s">
        <v>31</v>
      </c>
      <c r="G4" s="7">
        <v>13703.32</v>
      </c>
      <c r="I4" s="6">
        <v>9.0187846529596188E-2</v>
      </c>
      <c r="M4" t="s">
        <v>340</v>
      </c>
    </row>
    <row r="5" spans="3:13" x14ac:dyDescent="0.4">
      <c r="F5" s="5" t="s">
        <v>51</v>
      </c>
      <c r="G5" s="7">
        <v>5089.5499999999993</v>
      </c>
      <c r="I5" s="6">
        <v>0.28414695929333256</v>
      </c>
      <c r="M5" s="7">
        <v>179.58139130434796</v>
      </c>
    </row>
    <row r="6" spans="3:13" x14ac:dyDescent="0.4">
      <c r="F6" s="5" t="s">
        <v>44</v>
      </c>
      <c r="G6" s="7">
        <v>16035.199999999999</v>
      </c>
      <c r="I6" s="6">
        <v>0.18669985542088402</v>
      </c>
    </row>
    <row r="7" spans="3:13" x14ac:dyDescent="0.4">
      <c r="D7" t="s">
        <v>334</v>
      </c>
      <c r="F7" s="5" t="s">
        <v>23</v>
      </c>
      <c r="G7" s="7">
        <v>10535.99</v>
      </c>
    </row>
    <row r="8" spans="3:13" x14ac:dyDescent="0.4">
      <c r="D8" s="7">
        <v>56432.76999999999</v>
      </c>
      <c r="F8" s="5" t="s">
        <v>339</v>
      </c>
      <c r="G8" s="7">
        <v>56432.77</v>
      </c>
      <c r="J8" s="14" t="s">
        <v>338</v>
      </c>
      <c r="K8" t="s">
        <v>334</v>
      </c>
    </row>
    <row r="9" spans="3:13" x14ac:dyDescent="0.4">
      <c r="J9" s="5" t="s">
        <v>344</v>
      </c>
      <c r="K9" s="7">
        <v>14164.569999999996</v>
      </c>
    </row>
    <row r="10" spans="3:13" x14ac:dyDescent="0.4">
      <c r="D10" t="s">
        <v>336</v>
      </c>
      <c r="J10" s="5" t="s">
        <v>345</v>
      </c>
      <c r="K10" s="7">
        <v>18852.859999999997</v>
      </c>
    </row>
    <row r="11" spans="3:13" x14ac:dyDescent="0.4">
      <c r="D11" s="2">
        <v>116</v>
      </c>
      <c r="E11" s="14" t="s">
        <v>338</v>
      </c>
      <c r="F11" t="s">
        <v>358</v>
      </c>
      <c r="J11" s="5" t="s">
        <v>346</v>
      </c>
      <c r="K11" s="7">
        <v>7113.6599999999989</v>
      </c>
    </row>
    <row r="12" spans="3:13" x14ac:dyDescent="0.4">
      <c r="E12" s="5" t="s">
        <v>69</v>
      </c>
      <c r="F12" s="2">
        <v>17</v>
      </c>
      <c r="J12" s="5" t="s">
        <v>347</v>
      </c>
      <c r="K12" s="7">
        <v>1592.45</v>
      </c>
    </row>
    <row r="13" spans="3:13" x14ac:dyDescent="0.4">
      <c r="E13" s="5" t="s">
        <v>43</v>
      </c>
      <c r="F13" s="2">
        <v>28</v>
      </c>
      <c r="G13">
        <f>H29</f>
        <v>0</v>
      </c>
      <c r="J13" s="5" t="s">
        <v>348</v>
      </c>
      <c r="K13" s="7">
        <v>414.03999999999996</v>
      </c>
    </row>
    <row r="14" spans="3:13" x14ac:dyDescent="0.4">
      <c r="C14" s="14" t="s">
        <v>338</v>
      </c>
      <c r="D14" t="s">
        <v>342</v>
      </c>
      <c r="E14" s="5" t="s">
        <v>59</v>
      </c>
      <c r="F14" s="2">
        <v>23</v>
      </c>
      <c r="J14" s="5" t="s">
        <v>349</v>
      </c>
      <c r="K14" s="7">
        <v>371.21000000000004</v>
      </c>
    </row>
    <row r="15" spans="3:13" x14ac:dyDescent="0.4">
      <c r="C15" s="5" t="s">
        <v>36</v>
      </c>
      <c r="D15" s="2">
        <v>59</v>
      </c>
      <c r="E15" s="5" t="s">
        <v>30</v>
      </c>
      <c r="F15" s="2">
        <v>29</v>
      </c>
      <c r="J15" s="5" t="s">
        <v>350</v>
      </c>
      <c r="K15" s="7">
        <v>52.18</v>
      </c>
    </row>
    <row r="16" spans="3:13" x14ac:dyDescent="0.4">
      <c r="C16" s="5" t="s">
        <v>20</v>
      </c>
      <c r="D16" s="2">
        <v>43</v>
      </c>
      <c r="E16" s="5" t="s">
        <v>22</v>
      </c>
      <c r="F16" s="2">
        <v>19</v>
      </c>
      <c r="J16" s="5" t="s">
        <v>351</v>
      </c>
      <c r="K16" s="7">
        <v>1839.98</v>
      </c>
    </row>
    <row r="17" spans="2:11" x14ac:dyDescent="0.4">
      <c r="C17" s="5" t="s">
        <v>64</v>
      </c>
      <c r="D17" s="2">
        <v>14</v>
      </c>
      <c r="E17" s="5" t="s">
        <v>339</v>
      </c>
      <c r="F17" s="2">
        <v>116</v>
      </c>
      <c r="J17" s="5" t="s">
        <v>352</v>
      </c>
      <c r="K17" s="7">
        <v>113.16</v>
      </c>
    </row>
    <row r="18" spans="2:11" x14ac:dyDescent="0.4">
      <c r="C18" s="5" t="s">
        <v>339</v>
      </c>
      <c r="D18" s="2">
        <v>116</v>
      </c>
      <c r="J18" s="5" t="s">
        <v>353</v>
      </c>
      <c r="K18" s="7">
        <v>1191.1500000000001</v>
      </c>
    </row>
    <row r="19" spans="2:11" x14ac:dyDescent="0.4">
      <c r="F19" t="s">
        <v>359</v>
      </c>
      <c r="G19">
        <f>SUM(F13:F16)</f>
        <v>99</v>
      </c>
      <c r="J19" s="5" t="s">
        <v>354</v>
      </c>
      <c r="K19" s="7">
        <v>10727.51</v>
      </c>
    </row>
    <row r="20" spans="2:11" x14ac:dyDescent="0.4">
      <c r="F20" s="5" t="s">
        <v>69</v>
      </c>
      <c r="G20" s="2">
        <v>17</v>
      </c>
      <c r="J20" s="5" t="s">
        <v>339</v>
      </c>
      <c r="K20" s="7">
        <v>56432.77</v>
      </c>
    </row>
    <row r="22" spans="2:11" x14ac:dyDescent="0.4">
      <c r="B22" s="14" t="s">
        <v>338</v>
      </c>
      <c r="C22" t="s">
        <v>343</v>
      </c>
    </row>
    <row r="23" spans="2:11" x14ac:dyDescent="0.4">
      <c r="B23" s="5" t="s">
        <v>53</v>
      </c>
      <c r="C23" s="2">
        <v>15</v>
      </c>
      <c r="D23" s="5" t="s">
        <v>53</v>
      </c>
    </row>
    <row r="24" spans="2:11" x14ac:dyDescent="0.4">
      <c r="B24" s="5" t="s">
        <v>96</v>
      </c>
      <c r="C24" s="2">
        <v>14</v>
      </c>
      <c r="D24" s="5" t="s">
        <v>96</v>
      </c>
    </row>
    <row r="25" spans="2:11" x14ac:dyDescent="0.4">
      <c r="B25" s="5" t="s">
        <v>63</v>
      </c>
      <c r="C25" s="2">
        <v>13</v>
      </c>
      <c r="D25" s="5" t="s">
        <v>63</v>
      </c>
    </row>
    <row r="26" spans="2:11" x14ac:dyDescent="0.4">
      <c r="B26" s="5" t="s">
        <v>58</v>
      </c>
      <c r="C26" s="2">
        <v>12</v>
      </c>
      <c r="D26" s="5" t="s">
        <v>58</v>
      </c>
    </row>
    <row r="27" spans="2:11" x14ac:dyDescent="0.4">
      <c r="B27" s="5" t="s">
        <v>50</v>
      </c>
      <c r="C27" s="2">
        <v>12</v>
      </c>
      <c r="D27" s="5" t="s">
        <v>50</v>
      </c>
    </row>
    <row r="28" spans="2:11" x14ac:dyDescent="0.4">
      <c r="B28" s="5" t="s">
        <v>28</v>
      </c>
      <c r="C28" s="2">
        <v>11</v>
      </c>
    </row>
    <row r="29" spans="2:11" x14ac:dyDescent="0.4">
      <c r="B29" s="5" t="s">
        <v>42</v>
      </c>
      <c r="C29" s="2">
        <v>11</v>
      </c>
    </row>
    <row r="30" spans="2:11" x14ac:dyDescent="0.4">
      <c r="B30" s="5" t="s">
        <v>19</v>
      </c>
      <c r="C30" s="2">
        <v>11</v>
      </c>
      <c r="E30" s="14" t="s">
        <v>357</v>
      </c>
      <c r="F30" t="s">
        <v>334</v>
      </c>
    </row>
    <row r="31" spans="2:11" x14ac:dyDescent="0.4">
      <c r="B31" s="5" t="s">
        <v>35</v>
      </c>
      <c r="C31" s="2">
        <v>7</v>
      </c>
      <c r="E31" s="5" t="s">
        <v>355</v>
      </c>
      <c r="F31" s="7">
        <v>16555.21</v>
      </c>
    </row>
    <row r="32" spans="2:11" x14ac:dyDescent="0.4">
      <c r="B32" s="5" t="s">
        <v>127</v>
      </c>
      <c r="C32" s="2">
        <v>7</v>
      </c>
      <c r="E32" s="16" t="s">
        <v>345</v>
      </c>
      <c r="F32" s="7">
        <v>96.95</v>
      </c>
    </row>
    <row r="33" spans="2:6" x14ac:dyDescent="0.4">
      <c r="B33" s="5" t="s">
        <v>186</v>
      </c>
      <c r="C33" s="2">
        <v>1</v>
      </c>
      <c r="E33" s="16" t="s">
        <v>346</v>
      </c>
      <c r="F33" s="7">
        <v>156.58000000000001</v>
      </c>
    </row>
    <row r="34" spans="2:6" x14ac:dyDescent="0.4">
      <c r="B34" s="5" t="s">
        <v>147</v>
      </c>
      <c r="C34" s="2">
        <v>1</v>
      </c>
      <c r="E34" s="16" t="s">
        <v>347</v>
      </c>
      <c r="F34" s="7">
        <v>1592.45</v>
      </c>
    </row>
    <row r="35" spans="2:6" x14ac:dyDescent="0.4">
      <c r="B35" s="5" t="s">
        <v>285</v>
      </c>
      <c r="C35" s="2">
        <v>1</v>
      </c>
      <c r="E35" s="16" t="s">
        <v>348</v>
      </c>
      <c r="F35" s="7">
        <v>414.03999999999996</v>
      </c>
    </row>
    <row r="36" spans="2:6" x14ac:dyDescent="0.4">
      <c r="B36" s="5" t="s">
        <v>339</v>
      </c>
      <c r="C36" s="2">
        <v>116</v>
      </c>
      <c r="E36" s="16" t="s">
        <v>349</v>
      </c>
      <c r="F36" s="7">
        <v>371.21000000000004</v>
      </c>
    </row>
    <row r="37" spans="2:6" x14ac:dyDescent="0.4">
      <c r="E37" s="16" t="s">
        <v>350</v>
      </c>
      <c r="F37" s="7">
        <v>52.18</v>
      </c>
    </row>
    <row r="38" spans="2:6" x14ac:dyDescent="0.4">
      <c r="E38" s="16" t="s">
        <v>351</v>
      </c>
      <c r="F38" s="7">
        <v>1839.98</v>
      </c>
    </row>
    <row r="39" spans="2:6" x14ac:dyDescent="0.4">
      <c r="E39" s="16" t="s">
        <v>352</v>
      </c>
      <c r="F39" s="7">
        <v>113.16</v>
      </c>
    </row>
    <row r="40" spans="2:6" x14ac:dyDescent="0.4">
      <c r="E40" s="16" t="s">
        <v>353</v>
      </c>
      <c r="F40" s="7">
        <v>1191.1500000000001</v>
      </c>
    </row>
    <row r="41" spans="2:6" x14ac:dyDescent="0.4">
      <c r="E41" s="16" t="s">
        <v>354</v>
      </c>
      <c r="F41" s="7">
        <v>10727.51</v>
      </c>
    </row>
    <row r="42" spans="2:6" x14ac:dyDescent="0.4">
      <c r="E42" s="5" t="s">
        <v>356</v>
      </c>
      <c r="F42" s="7">
        <v>39877.56</v>
      </c>
    </row>
    <row r="43" spans="2:6" x14ac:dyDescent="0.4">
      <c r="E43" s="16" t="s">
        <v>344</v>
      </c>
      <c r="F43" s="7">
        <v>14164.569999999996</v>
      </c>
    </row>
    <row r="44" spans="2:6" x14ac:dyDescent="0.4">
      <c r="E44" s="16" t="s">
        <v>345</v>
      </c>
      <c r="F44" s="7">
        <v>18755.909999999996</v>
      </c>
    </row>
    <row r="45" spans="2:6" x14ac:dyDescent="0.4">
      <c r="E45" s="16" t="s">
        <v>346</v>
      </c>
      <c r="F45" s="7">
        <v>6957.079999999999</v>
      </c>
    </row>
    <row r="46" spans="2:6" x14ac:dyDescent="0.4">
      <c r="E46" s="5" t="s">
        <v>339</v>
      </c>
      <c r="F46" s="7">
        <v>56432.76999999999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4AE4-3008-4278-B3FC-3340DF9145CC}">
  <dimension ref="C1:M2"/>
  <sheetViews>
    <sheetView zoomScale="80" zoomScaleNormal="80" workbookViewId="0">
      <selection activeCell="P17" sqref="P17"/>
    </sheetView>
  </sheetViews>
  <sheetFormatPr defaultRowHeight="14.6" x14ac:dyDescent="0.4"/>
  <cols>
    <col min="2" max="2" width="15.3828125" customWidth="1"/>
    <col min="4" max="4" width="15.84375" customWidth="1"/>
    <col min="5" max="5" width="5.3046875" customWidth="1"/>
    <col min="10" max="10" width="9.23046875" customWidth="1"/>
    <col min="11" max="11" width="19.69140625" customWidth="1"/>
  </cols>
  <sheetData>
    <row r="1" spans="3:13" s="8" customFormat="1" ht="23.15" customHeight="1" x14ac:dyDescent="0.8">
      <c r="C1" s="19" t="s">
        <v>335</v>
      </c>
      <c r="D1" s="19"/>
      <c r="E1" s="10"/>
      <c r="G1" s="19" t="s">
        <v>337</v>
      </c>
      <c r="H1" s="20"/>
      <c r="I1" s="12"/>
      <c r="J1" s="19" t="s">
        <v>341</v>
      </c>
      <c r="K1" s="19"/>
      <c r="L1" s="12"/>
      <c r="M1" s="12"/>
    </row>
    <row r="2" spans="3:13" s="9" customFormat="1" ht="25.3" customHeight="1" x14ac:dyDescent="0.8">
      <c r="C2" s="18">
        <f>GETPIVOTDATA("Total Amount",Sheet!$D$7)</f>
        <v>56432.76999999999</v>
      </c>
      <c r="D2" s="18"/>
      <c r="E2" s="11"/>
      <c r="G2" s="21">
        <f>GETPIVOTDATA("Quantity",Sheet!$D$10)</f>
        <v>116</v>
      </c>
      <c r="H2" s="21"/>
      <c r="I2" s="13"/>
      <c r="J2" s="17">
        <f>GETPIVOTDATA("Unit Price",Sheet!$M$4)</f>
        <v>179.58139130434796</v>
      </c>
      <c r="K2" s="17"/>
      <c r="L2" s="13"/>
      <c r="M2" s="13"/>
    </row>
  </sheetData>
  <mergeCells count="6">
    <mergeCell ref="J2:K2"/>
    <mergeCell ref="C2:D2"/>
    <mergeCell ref="C1:D1"/>
    <mergeCell ref="G1:H1"/>
    <mergeCell ref="G2:H2"/>
    <mergeCell ref="J1:K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2026-05-06T07:52:40Z</dcterms:created>
  <dcterms:modified xsi:type="dcterms:W3CDTF">2026-07-04T08:36:01Z</dcterms:modified>
</cp:coreProperties>
</file>